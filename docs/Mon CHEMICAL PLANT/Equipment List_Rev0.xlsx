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rgy_village\home\documents\00a-pascal\boulot\00 Projet IA\Zengineering\file\Zen-gineering\docs\"/>
    </mc:Choice>
  </mc:AlternateContent>
  <xr:revisionPtr revIDLastSave="0" documentId="14_{7B2B2CAC-533E-438A-B284-D58D2B10C936}" xr6:coauthVersionLast="47" xr6:coauthVersionMax="47" xr10:uidLastSave="{00000000-0000-0000-0000-000000000000}"/>
  <bookViews>
    <workbookView xWindow="2914" yWindow="2100" windowWidth="26332" windowHeight="13054" tabRatio="654" xr2:uid="{00000000-000D-0000-FFFF-FFFF00000000}"/>
  </bookViews>
  <sheets>
    <sheet name="VESSELS_SRF" sheetId="3" r:id="rId1"/>
    <sheet name="HEAT_SRF " sheetId="4" r:id="rId2"/>
    <sheet name="ROTATING" sheetId="7" r:id="rId3"/>
    <sheet name="DIVERS" sheetId="6" r:id="rId4"/>
  </sheets>
  <definedNames>
    <definedName name="_xlnm.Print_Titles" localSheetId="3">DIVERS!$2:$7</definedName>
    <definedName name="_xlnm.Print_Titles" localSheetId="1">'HEAT_SRF '!$2:$6</definedName>
    <definedName name="_xlnm.Print_Titles" localSheetId="2">ROTATING!$2:$7</definedName>
    <definedName name="_xlnm.Print_Titles" localSheetId="0">VESSELS_SRF!$2:$7</definedName>
    <definedName name="_xlnm.Print_Area" localSheetId="3">DIVERS!$A$1:$R$61</definedName>
    <definedName name="_xlnm.Print_Area" localSheetId="1">'HEAT_SRF '!$B$1:$T$28</definedName>
    <definedName name="_xlnm.Print_Area" localSheetId="2">ROTATING!$B$1:$S$25</definedName>
    <definedName name="_xlnm.Print_Area" localSheetId="0">VESSELS_SRF!$B$1:$S$26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4" l="1"/>
  <c r="D2" i="6"/>
  <c r="Q5" i="6"/>
  <c r="Q4" i="6"/>
  <c r="Q3" i="6"/>
  <c r="Q2" i="6"/>
  <c r="R4" i="7"/>
  <c r="R4" i="4"/>
  <c r="T12" i="7" l="1"/>
  <c r="D6" i="6" l="1"/>
  <c r="D6" i="7"/>
  <c r="R5" i="7"/>
  <c r="R3" i="7"/>
  <c r="R2" i="7"/>
  <c r="D2" i="7"/>
  <c r="D6" i="4"/>
  <c r="R5" i="4"/>
  <c r="R3" i="4"/>
  <c r="R2" i="4"/>
</calcChain>
</file>

<file path=xl/sharedStrings.xml><?xml version="1.0" encoding="utf-8"?>
<sst xmlns="http://schemas.openxmlformats.org/spreadsheetml/2006/main" count="241" uniqueCount="133">
  <si>
    <t>Operating conditions</t>
  </si>
  <si>
    <t>Design conditions</t>
  </si>
  <si>
    <t>Notes</t>
  </si>
  <si>
    <t>Item N°</t>
  </si>
  <si>
    <t>Service</t>
  </si>
  <si>
    <t>Number</t>
  </si>
  <si>
    <t>Material</t>
  </si>
  <si>
    <t>(°C)</t>
  </si>
  <si>
    <t>Type</t>
  </si>
  <si>
    <t>kW</t>
  </si>
  <si>
    <t xml:space="preserve">Estimated Size </t>
  </si>
  <si>
    <t>Notes:</t>
  </si>
  <si>
    <t xml:space="preserve">Operating conditions                    
</t>
  </si>
  <si>
    <t xml:space="preserve">Design conditions               
</t>
  </si>
  <si>
    <t xml:space="preserve">Unit </t>
  </si>
  <si>
    <t>HEAT EXCHANGE EQUIPMENTS</t>
  </si>
  <si>
    <t>ROTATING MACHINES</t>
  </si>
  <si>
    <t>MISCELLANEOUS</t>
  </si>
  <si>
    <t>Project Ref.</t>
  </si>
  <si>
    <t>Page</t>
  </si>
  <si>
    <t>Specification</t>
  </si>
  <si>
    <t>Customer</t>
  </si>
  <si>
    <t>-</t>
  </si>
  <si>
    <t>Size (ID x TL/TL)
(mm)</t>
  </si>
  <si>
    <t>General Notes:</t>
  </si>
  <si>
    <t>Area per shell
(m²)</t>
  </si>
  <si>
    <t>Shell side</t>
  </si>
  <si>
    <t>Tube side</t>
  </si>
  <si>
    <t>Temperature</t>
  </si>
  <si>
    <t>Size
(mm)</t>
  </si>
  <si>
    <t>Pressure</t>
  </si>
  <si>
    <t>VESSELS</t>
  </si>
  <si>
    <t>Normal capacity (m3/h)</t>
  </si>
  <si>
    <t>Suction pressure</t>
  </si>
  <si>
    <t>CS + 3 mm CA</t>
  </si>
  <si>
    <t xml:space="preserve">Shell ID x tube length (mm) </t>
  </si>
  <si>
    <t xml:space="preserve">CS + 3 mm CA </t>
  </si>
  <si>
    <t>Atm</t>
  </si>
  <si>
    <t>Position / Head</t>
  </si>
  <si>
    <t>V / Elliptical</t>
  </si>
  <si>
    <t>Stack</t>
  </si>
  <si>
    <t>Drive Type</t>
  </si>
  <si>
    <t>Electrical</t>
  </si>
  <si>
    <t>Duty @ design capacity
(kW)</t>
  </si>
  <si>
    <t xml:space="preserve">Abs. power (kW) </t>
  </si>
  <si>
    <t>Blowdown Drum</t>
  </si>
  <si>
    <t>1/4</t>
  </si>
  <si>
    <t>2/4</t>
  </si>
  <si>
    <t>3/4</t>
  </si>
  <si>
    <t>4/4</t>
  </si>
  <si>
    <t>Alphahexol Spent Catalyst and Waxes Heater</t>
  </si>
  <si>
    <t>(barg)</t>
  </si>
  <si>
    <t>Differential pressure (bar)</t>
  </si>
  <si>
    <t>Alphahexol Spent Catalyst and Waxes Feed Loop Pumps</t>
  </si>
  <si>
    <t>Alphahexol Spent Catalyst and Waxes Filters</t>
  </si>
  <si>
    <t>Waste Heat Recovery Package</t>
  </si>
  <si>
    <t>Flue Gas Treatment Package</t>
  </si>
  <si>
    <t>Waste Water Treatment Package</t>
  </si>
  <si>
    <t>Urea Injection Package</t>
  </si>
  <si>
    <t>Combustion Chamber</t>
  </si>
  <si>
    <t>125-VV-601</t>
  </si>
  <si>
    <t>125-HE-601</t>
  </si>
  <si>
    <t>125-PR-601 A/B</t>
  </si>
  <si>
    <t>200 - 235</t>
  </si>
  <si>
    <t>125-KB-601 A/B</t>
  </si>
  <si>
    <t>125-KB-602 A/B</t>
  </si>
  <si>
    <t>125-KB-603 A/B</t>
  </si>
  <si>
    <t>-5 mm H2O</t>
  </si>
  <si>
    <t>425 mmH2O</t>
  </si>
  <si>
    <t>-510 mm H2O</t>
  </si>
  <si>
    <t>780 mmH2O</t>
  </si>
  <si>
    <t>930 mmH2O</t>
  </si>
  <si>
    <t>125-NF-601 A/B</t>
  </si>
  <si>
    <t>125-XA-607</t>
  </si>
  <si>
    <t>125-XA-602</t>
  </si>
  <si>
    <t>125-XA-603</t>
  </si>
  <si>
    <t>-210 mmH2O</t>
  </si>
  <si>
    <t>70 mmH2O</t>
  </si>
  <si>
    <t>125-XA-604</t>
  </si>
  <si>
    <t>125-XA-605</t>
  </si>
  <si>
    <t>125-XA-606</t>
  </si>
  <si>
    <t>125-XA-608</t>
  </si>
  <si>
    <t xml:space="preserve">Phosphate Injection package </t>
  </si>
  <si>
    <t>SS</t>
  </si>
  <si>
    <t>Estimated Weight
(kg)</t>
  </si>
  <si>
    <t xml:space="preserve">Reciprocating </t>
  </si>
  <si>
    <t>Casing: CS
Impeller: SS</t>
  </si>
  <si>
    <t>Centrifugal</t>
  </si>
  <si>
    <t>Metal Cartridge type</t>
  </si>
  <si>
    <t>H / Elliptical</t>
  </si>
  <si>
    <t>40.0 / FV</t>
  </si>
  <si>
    <t xml:space="preserve">Hair Pin Heat Exchanger. </t>
  </si>
  <si>
    <t>Casing: SS
Gear: SS</t>
  </si>
  <si>
    <t>CS</t>
  </si>
  <si>
    <t>Venturi</t>
  </si>
  <si>
    <t>125-PR-602 A/B</t>
  </si>
  <si>
    <t>Recirculation Pumps</t>
  </si>
  <si>
    <t>CS / 1.25 Cr</t>
  </si>
  <si>
    <t>200 / 70</t>
  </si>
  <si>
    <t>WESP</t>
  </si>
  <si>
    <t>Double gun (C8+ and wax) atomization with steam</t>
  </si>
  <si>
    <t>Wet electrostatic precipitator upflow.</t>
  </si>
  <si>
    <t>Double wall stack. Outer wall (CS) for stack support.</t>
  </si>
  <si>
    <t>CS + refractory</t>
  </si>
  <si>
    <t>Amb</t>
  </si>
  <si>
    <t>50 - 90</t>
  </si>
  <si>
    <t>Casing: SS
Impeller: SS</t>
  </si>
  <si>
    <t>Air Blowers</t>
  </si>
  <si>
    <t>Recirculation Fans</t>
  </si>
  <si>
    <t>Flue Gas Blowers</t>
  </si>
  <si>
    <t>65 - 70</t>
  </si>
  <si>
    <t xml:space="preserve">WHB convective type, horizontal, including steam superheater, evaporator, economizer, steam drum </t>
  </si>
  <si>
    <t>125-VV-405</t>
  </si>
  <si>
    <t>Waxes Storage Drum</t>
  </si>
  <si>
    <t>125-XA-609</t>
  </si>
  <si>
    <t>Incinerator Burner Package</t>
  </si>
  <si>
    <t>Shell: CS + 3mm CA
Internals: SS 304L</t>
  </si>
  <si>
    <t>Control by VFD</t>
  </si>
  <si>
    <t>Gear pump type</t>
  </si>
  <si>
    <t>13500 Nm3/h</t>
  </si>
  <si>
    <t>2290 Nm3/h</t>
  </si>
  <si>
    <t>16200 Nm3/h</t>
  </si>
  <si>
    <t>12 (waxes)
8 (C8+)</t>
  </si>
  <si>
    <t>950 / 150</t>
  </si>
  <si>
    <t>37/FV</t>
  </si>
  <si>
    <t>Treatment Water Package is made of 2 containerised units:
1st one will house the physico chemical.
2nd one will house the Filter press.</t>
  </si>
  <si>
    <t xml:space="preserve">Injection package includes: One storage drum with agitator and two dosing injection pumps (one operating / one spare) </t>
  </si>
  <si>
    <t>Mon CHEMICAL PLANT</t>
  </si>
  <si>
    <t>MY_ONE</t>
  </si>
  <si>
    <t>TECH</t>
  </si>
  <si>
    <t>U_A</t>
  </si>
  <si>
    <t>EQUIPMENT LIST FOR NEW PACKAGE</t>
  </si>
  <si>
    <t>Client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</si>
</sst>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0" x14ac:knownFonts="1">
    <font>
      <sz val="10"/>
      <name val="Arial"/>
    </font>
    <font>
      <sz val="12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0" xfId="0" quotePrefix="1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/>
    </xf>
    <xf numFmtId="0" fontId="5" fillId="2" borderId="9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4" fillId="2" borderId="4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17" fontId="1" fillId="2" borderId="1" xfId="0" quotePrefix="1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vertical="center"/>
    </xf>
    <xf numFmtId="0" fontId="1" fillId="2" borderId="1" xfId="0" quotePrefix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" fontId="1" fillId="2" borderId="11" xfId="0" quotePrefix="1" applyNumberFormat="1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1" fillId="2" borderId="16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right" vertical="center"/>
    </xf>
    <xf numFmtId="0" fontId="5" fillId="2" borderId="17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17" fontId="1" fillId="2" borderId="17" xfId="0" applyNumberFormat="1" applyFont="1" applyFill="1" applyBorder="1" applyAlignment="1">
      <alignment horizontal="center" vertical="center"/>
    </xf>
    <xf numFmtId="0" fontId="1" fillId="2" borderId="17" xfId="0" quotePrefix="1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vertical="center"/>
    </xf>
    <xf numFmtId="0" fontId="1" fillId="2" borderId="19" xfId="0" applyFont="1" applyFill="1" applyBorder="1" applyAlignment="1">
      <alignment vertical="center"/>
    </xf>
    <xf numFmtId="0" fontId="1" fillId="2" borderId="19" xfId="0" applyFont="1" applyFill="1" applyBorder="1" applyAlignment="1">
      <alignment horizontal="center" vertical="center"/>
    </xf>
    <xf numFmtId="49" fontId="1" fillId="2" borderId="19" xfId="0" applyNumberFormat="1" applyFont="1" applyFill="1" applyBorder="1" applyAlignment="1">
      <alignment vertical="center"/>
    </xf>
    <xf numFmtId="0" fontId="1" fillId="2" borderId="19" xfId="0" applyFont="1" applyFill="1" applyBorder="1" applyAlignment="1">
      <alignment vertical="center" wrapText="1"/>
    </xf>
    <xf numFmtId="0" fontId="1" fillId="2" borderId="20" xfId="0" applyFont="1" applyFill="1" applyBorder="1" applyAlignment="1">
      <alignment vertical="center"/>
    </xf>
    <xf numFmtId="0" fontId="1" fillId="2" borderId="6" xfId="0" quotePrefix="1" applyFont="1" applyFill="1" applyBorder="1" applyAlignment="1">
      <alignment vertical="center"/>
    </xf>
    <xf numFmtId="0" fontId="1" fillId="0" borderId="0" xfId="0" applyFont="1"/>
    <xf numFmtId="0" fontId="1" fillId="2" borderId="28" xfId="0" applyFont="1" applyFill="1" applyBorder="1" applyAlignment="1">
      <alignment vertical="center"/>
    </xf>
    <xf numFmtId="0" fontId="1" fillId="0" borderId="0" xfId="0" applyFont="1" applyAlignment="1">
      <alignment horizontal="left" vertical="center" wrapText="1" indent="1"/>
    </xf>
    <xf numFmtId="0" fontId="5" fillId="2" borderId="35" xfId="0" applyFont="1" applyFill="1" applyBorder="1" applyAlignment="1">
      <alignment vertical="center"/>
    </xf>
    <xf numFmtId="0" fontId="5" fillId="2" borderId="17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 indent="1"/>
    </xf>
    <xf numFmtId="0" fontId="5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9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16" fontId="1" fillId="0" borderId="11" xfId="0" quotePrefix="1" applyNumberFormat="1" applyFont="1" applyBorder="1" applyAlignment="1">
      <alignment horizontal="left" vertical="center" wrapText="1"/>
    </xf>
    <xf numFmtId="0" fontId="0" fillId="0" borderId="5" xfId="0" applyBorder="1" applyAlignment="1">
      <alignment vertical="center" wrapText="1"/>
    </xf>
    <xf numFmtId="0" fontId="6" fillId="0" borderId="7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1" fillId="0" borderId="22" xfId="0" applyFont="1" applyBorder="1" applyAlignment="1">
      <alignment horizontal="left" vertical="center" indent="2"/>
    </xf>
    <xf numFmtId="0" fontId="1" fillId="0" borderId="3" xfId="0" applyFont="1" applyBorder="1" applyAlignment="1">
      <alignment horizontal="left" vertical="center" indent="2"/>
    </xf>
    <xf numFmtId="0" fontId="4" fillId="0" borderId="16" xfId="0" applyFont="1" applyBorder="1" applyAlignment="1">
      <alignment horizontal="right" vertical="center"/>
    </xf>
    <xf numFmtId="0" fontId="1" fillId="0" borderId="0" xfId="0" quotePrefix="1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1" fillId="0" borderId="16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" fontId="1" fillId="0" borderId="17" xfId="0" quotePrefix="1" applyNumberFormat="1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1" fillId="0" borderId="3" xfId="0" applyFont="1" applyBorder="1" applyAlignment="1">
      <alignment horizontal="left" vertical="center" indent="1"/>
    </xf>
    <xf numFmtId="0" fontId="1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5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17" fontId="1" fillId="0" borderId="1" xfId="0" quotePrefix="1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indent="1"/>
    </xf>
    <xf numFmtId="0" fontId="1" fillId="0" borderId="2" xfId="0" applyFont="1" applyBorder="1" applyAlignment="1">
      <alignment horizontal="left" vertical="center" indent="2"/>
    </xf>
    <xf numFmtId="0" fontId="1" fillId="0" borderId="1" xfId="0" applyFont="1" applyBorder="1" applyAlignment="1">
      <alignment horizontal="center" vertical="center"/>
    </xf>
    <xf numFmtId="0" fontId="9" fillId="0" borderId="0" xfId="0" quotePrefix="1" applyFont="1" applyAlignment="1">
      <alignment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2" fontId="1" fillId="2" borderId="4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8" fillId="0" borderId="17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 indent="2"/>
    </xf>
    <xf numFmtId="0" fontId="1" fillId="2" borderId="3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left" vertical="center" indent="1"/>
    </xf>
    <xf numFmtId="0" fontId="1" fillId="0" borderId="30" xfId="0" applyFont="1" applyBorder="1" applyAlignment="1">
      <alignment horizontal="left" vertical="center" indent="2"/>
    </xf>
    <xf numFmtId="0" fontId="1" fillId="0" borderId="30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indent="1"/>
    </xf>
    <xf numFmtId="1" fontId="1" fillId="2" borderId="4" xfId="0" applyNumberFormat="1" applyFont="1" applyFill="1" applyBorder="1" applyAlignment="1">
      <alignment horizontal="center" vertical="center"/>
    </xf>
    <xf numFmtId="3" fontId="1" fillId="2" borderId="4" xfId="0" applyNumberFormat="1" applyFont="1" applyFill="1" applyBorder="1" applyAlignment="1">
      <alignment horizontal="center" vertical="center"/>
    </xf>
    <xf numFmtId="0" fontId="1" fillId="2" borderId="4" xfId="0" quotePrefix="1" applyFont="1" applyFill="1" applyBorder="1" applyAlignment="1">
      <alignment horizontal="center" vertical="center"/>
    </xf>
    <xf numFmtId="2" fontId="1" fillId="2" borderId="3" xfId="0" applyNumberFormat="1" applyFont="1" applyFill="1" applyBorder="1" applyAlignment="1">
      <alignment horizontal="center" vertical="center"/>
    </xf>
    <xf numFmtId="3" fontId="1" fillId="2" borderId="3" xfId="0" applyNumberFormat="1" applyFont="1" applyFill="1" applyBorder="1" applyAlignment="1">
      <alignment horizontal="center" vertical="center"/>
    </xf>
    <xf numFmtId="1" fontId="1" fillId="2" borderId="1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 indent="2"/>
    </xf>
    <xf numFmtId="0" fontId="1" fillId="0" borderId="3" xfId="0" applyFont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indent="1"/>
    </xf>
    <xf numFmtId="1" fontId="1" fillId="2" borderId="2" xfId="0" applyNumberFormat="1" applyFon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 wrapText="1"/>
    </xf>
    <xf numFmtId="164" fontId="1" fillId="2" borderId="0" xfId="0" applyNumberFormat="1" applyFont="1" applyFill="1" applyAlignment="1">
      <alignment vertical="center"/>
    </xf>
    <xf numFmtId="0" fontId="1" fillId="0" borderId="30" xfId="0" applyFont="1" applyBorder="1" applyAlignment="1">
      <alignment horizontal="left" vertical="center" indent="1"/>
    </xf>
    <xf numFmtId="0" fontId="1" fillId="0" borderId="4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164" fontId="1" fillId="2" borderId="3" xfId="0" quotePrefix="1" applyNumberFormat="1" applyFon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 wrapText="1"/>
    </xf>
    <xf numFmtId="3" fontId="1" fillId="0" borderId="4" xfId="0" applyNumberFormat="1" applyFont="1" applyBorder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/>
    </xf>
    <xf numFmtId="3" fontId="1" fillId="0" borderId="6" xfId="0" applyNumberFormat="1" applyFont="1" applyBorder="1" applyAlignment="1">
      <alignment horizontal="center" vertical="center"/>
    </xf>
    <xf numFmtId="0" fontId="1" fillId="0" borderId="21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left" vertical="center" indent="1"/>
    </xf>
    <xf numFmtId="0" fontId="1" fillId="0" borderId="37" xfId="0" applyFont="1" applyBorder="1" applyAlignment="1">
      <alignment horizontal="left" vertical="center" indent="1"/>
    </xf>
    <xf numFmtId="3" fontId="1" fillId="0" borderId="4" xfId="0" applyNumberFormat="1" applyFont="1" applyBorder="1" applyAlignment="1">
      <alignment horizontal="center" vertical="center"/>
    </xf>
    <xf numFmtId="0" fontId="1" fillId="0" borderId="10" xfId="0" quotePrefix="1" applyFont="1" applyBorder="1" applyAlignment="1">
      <alignment horizontal="left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23" xfId="0" applyFont="1" applyBorder="1" applyAlignment="1">
      <alignment horizontal="left" vertical="center" wrapText="1" indent="1"/>
    </xf>
    <xf numFmtId="0" fontId="1" fillId="0" borderId="24" xfId="0" applyFont="1" applyBorder="1" applyAlignment="1">
      <alignment horizontal="left" vertical="center" wrapText="1" indent="1"/>
    </xf>
    <xf numFmtId="0" fontId="1" fillId="0" borderId="25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1" fillId="0" borderId="17" xfId="0" applyFont="1" applyBorder="1" applyAlignment="1">
      <alignment horizontal="left" vertical="center" wrapText="1" indent="1"/>
    </xf>
    <xf numFmtId="17" fontId="1" fillId="2" borderId="4" xfId="0" quotePrefix="1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 indent="1"/>
    </xf>
    <xf numFmtId="0" fontId="8" fillId="0" borderId="17" xfId="0" applyFont="1" applyBorder="1" applyAlignment="1">
      <alignment horizontal="left" vertical="center" wrapText="1" indent="1"/>
    </xf>
    <xf numFmtId="1" fontId="1" fillId="0" borderId="4" xfId="0" quotePrefix="1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2" borderId="0" xfId="0" quotePrefix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6" fillId="0" borderId="31" xfId="0" applyFont="1" applyBorder="1" applyAlignment="1">
      <alignment horizontal="center" vertical="center"/>
    </xf>
    <xf numFmtId="0" fontId="0" fillId="0" borderId="19" xfId="0" applyBorder="1" applyAlignment="1">
      <alignment vertical="center"/>
    </xf>
    <xf numFmtId="164" fontId="1" fillId="0" borderId="4" xfId="0" applyNumberFormat="1" applyFont="1" applyBorder="1" applyAlignment="1">
      <alignment horizontal="center" vertical="center"/>
    </xf>
    <xf numFmtId="164" fontId="8" fillId="0" borderId="1" xfId="0" applyNumberFormat="1" applyFont="1" applyBorder="1"/>
    <xf numFmtId="0" fontId="1" fillId="0" borderId="1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left" vertical="center" wrapText="1" indent="1"/>
    </xf>
    <xf numFmtId="0" fontId="8" fillId="0" borderId="19" xfId="0" applyFont="1" applyBorder="1" applyAlignment="1">
      <alignment horizontal="left" vertical="center" wrapText="1" indent="1"/>
    </xf>
    <xf numFmtId="0" fontId="8" fillId="0" borderId="20" xfId="0" applyFont="1" applyBorder="1" applyAlignment="1">
      <alignment horizontal="left" vertical="center" wrapText="1" indent="1"/>
    </xf>
    <xf numFmtId="1" fontId="1" fillId="0" borderId="4" xfId="0" applyNumberFormat="1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0" xfId="0" quotePrefix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7" fontId="1" fillId="0" borderId="4" xfId="0" quotePrefix="1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164" fontId="1" fillId="0" borderId="14" xfId="0" applyNumberFormat="1" applyFont="1" applyBorder="1" applyAlignment="1">
      <alignment horizontal="center" vertical="center" wrapText="1"/>
    </xf>
    <xf numFmtId="164" fontId="1" fillId="0" borderId="13" xfId="0" applyNumberFormat="1" applyFont="1" applyBorder="1" applyAlignment="1">
      <alignment horizontal="center" vertical="center" wrapText="1"/>
    </xf>
    <xf numFmtId="164" fontId="1" fillId="0" borderId="15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 indent="1"/>
    </xf>
    <xf numFmtId="0" fontId="0" fillId="0" borderId="5" xfId="0" applyBorder="1" applyAlignment="1">
      <alignment horizontal="left" vertical="center" indent="1"/>
    </xf>
    <xf numFmtId="0" fontId="1" fillId="2" borderId="4" xfId="0" applyFont="1" applyFill="1" applyBorder="1" applyAlignment="1">
      <alignment horizontal="left" vertical="center" wrapText="1" indent="1"/>
    </xf>
    <xf numFmtId="0" fontId="0" fillId="2" borderId="1" xfId="0" applyFill="1" applyBorder="1" applyAlignment="1">
      <alignment horizontal="left" vertical="center" indent="1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64" fontId="1" fillId="0" borderId="10" xfId="0" applyNumberFormat="1" applyFont="1" applyBorder="1" applyAlignment="1">
      <alignment horizontal="center" vertical="center" wrapText="1"/>
    </xf>
    <xf numFmtId="164" fontId="1" fillId="0" borderId="9" xfId="0" applyNumberFormat="1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11" xfId="0" applyNumberFormat="1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164" fontId="1" fillId="0" borderId="14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4" xfId="0" quotePrefix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 indent="1"/>
    </xf>
    <xf numFmtId="1" fontId="1" fillId="2" borderId="4" xfId="0" quotePrefix="1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" fontId="1" fillId="2" borderId="11" xfId="0" quotePrefix="1" applyNumberFormat="1" applyFont="1" applyFill="1" applyBorder="1" applyAlignment="1">
      <alignment horizontal="center" vertical="center"/>
    </xf>
    <xf numFmtId="1" fontId="1" fillId="2" borderId="5" xfId="0" applyNumberFormat="1" applyFont="1" applyFill="1" applyBorder="1" applyAlignment="1">
      <alignment horizontal="center" vertical="center"/>
    </xf>
    <xf numFmtId="164" fontId="1" fillId="2" borderId="11" xfId="0" applyNumberFormat="1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vertical="center" wrapText="1" indent="1"/>
    </xf>
    <xf numFmtId="0" fontId="1" fillId="0" borderId="5" xfId="0" applyFont="1" applyBorder="1" applyAlignment="1">
      <alignment horizontal="left" vertical="center" wrapText="1" indent="1"/>
    </xf>
    <xf numFmtId="0" fontId="1" fillId="2" borderId="32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 indent="1"/>
    </xf>
    <xf numFmtId="0" fontId="0" fillId="0" borderId="17" xfId="0" applyBorder="1" applyAlignment="1">
      <alignment horizontal="left" vertical="center" wrapText="1" indent="1"/>
    </xf>
    <xf numFmtId="1" fontId="1" fillId="0" borderId="4" xfId="0" quotePrefix="1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7" fillId="2" borderId="0" xfId="0" quotePrefix="1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1" fontId="1" fillId="0" borderId="11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1" fillId="2" borderId="4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1" fillId="0" borderId="36" xfId="0" applyFont="1" applyBorder="1" applyAlignment="1">
      <alignment horizontal="left" vertical="center" wrapText="1" indent="1"/>
    </xf>
    <xf numFmtId="1" fontId="1" fillId="0" borderId="1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B2:S60"/>
  <sheetViews>
    <sheetView tabSelected="1" view="pageBreakPreview" zoomScale="50" zoomScaleNormal="50" zoomScaleSheetLayoutView="50" workbookViewId="0">
      <selection activeCell="Q13" sqref="Q13:S13"/>
    </sheetView>
  </sheetViews>
  <sheetFormatPr baseColWidth="10" defaultColWidth="11.4609375" defaultRowHeight="15" x14ac:dyDescent="0.3"/>
  <cols>
    <col min="1" max="1" width="11.4609375" style="6"/>
    <col min="2" max="2" width="33.4609375" style="6" customWidth="1"/>
    <col min="3" max="3" width="48.15234375" style="6" bestFit="1" customWidth="1"/>
    <col min="4" max="4" width="10.15234375" style="5" customWidth="1"/>
    <col min="5" max="5" width="33.4609375" style="5" customWidth="1"/>
    <col min="6" max="6" width="11.15234375" style="6" customWidth="1"/>
    <col min="7" max="7" width="11" style="6" customWidth="1"/>
    <col min="8" max="8" width="11.4609375" style="7" customWidth="1"/>
    <col min="9" max="9" width="11.15234375" style="6" customWidth="1"/>
    <col min="10" max="10" width="11.53515625" style="6" customWidth="1"/>
    <col min="11" max="11" width="10.53515625" style="6" customWidth="1"/>
    <col min="12" max="12" width="10.15234375" style="6" customWidth="1"/>
    <col min="13" max="13" width="9.53515625" style="6" customWidth="1"/>
    <col min="14" max="15" width="19.4609375" style="5" customWidth="1"/>
    <col min="16" max="16" width="26.15234375" style="5" customWidth="1"/>
    <col min="17" max="17" width="20.84375" style="8" customWidth="1"/>
    <col min="18" max="18" width="31.53515625" style="8" customWidth="1"/>
    <col min="19" max="19" width="28.84375" style="6" customWidth="1"/>
    <col min="20" max="16384" width="11.4609375" style="6"/>
  </cols>
  <sheetData>
    <row r="2" spans="2:19" ht="18" customHeight="1" x14ac:dyDescent="0.3">
      <c r="B2" s="188"/>
      <c r="C2" s="189"/>
      <c r="D2" s="197" t="s">
        <v>127</v>
      </c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1"/>
      <c r="Q2" s="60" t="s">
        <v>18</v>
      </c>
      <c r="R2" s="164" t="s">
        <v>128</v>
      </c>
      <c r="S2" s="62"/>
    </row>
    <row r="3" spans="2:19" ht="18" customHeight="1" x14ac:dyDescent="0.3">
      <c r="B3" s="192"/>
      <c r="C3" s="193"/>
      <c r="D3" s="212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4"/>
      <c r="Q3" s="63" t="s">
        <v>21</v>
      </c>
      <c r="R3" s="205" t="s">
        <v>132</v>
      </c>
      <c r="S3" s="206"/>
    </row>
    <row r="4" spans="2:19" ht="18" customHeight="1" x14ac:dyDescent="0.3">
      <c r="B4" s="192"/>
      <c r="C4" s="193"/>
      <c r="D4" s="212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4"/>
      <c r="Q4" s="63" t="s">
        <v>20</v>
      </c>
      <c r="R4" s="64" t="s">
        <v>129</v>
      </c>
      <c r="S4" s="65"/>
    </row>
    <row r="5" spans="2:19" ht="18" customHeight="1" x14ac:dyDescent="0.3">
      <c r="B5" s="192"/>
      <c r="C5" s="193"/>
      <c r="D5" s="212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4"/>
      <c r="Q5" s="63" t="s">
        <v>14</v>
      </c>
      <c r="R5" s="64" t="s">
        <v>130</v>
      </c>
      <c r="S5" s="65"/>
    </row>
    <row r="6" spans="2:19" ht="18" customHeight="1" x14ac:dyDescent="0.3">
      <c r="B6" s="203"/>
      <c r="C6" s="204"/>
      <c r="D6" s="184" t="s">
        <v>131</v>
      </c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6"/>
      <c r="Q6" s="66" t="s">
        <v>19</v>
      </c>
      <c r="R6" s="67" t="s">
        <v>46</v>
      </c>
      <c r="S6" s="68"/>
    </row>
    <row r="7" spans="2:19" ht="18" customHeight="1" x14ac:dyDescent="0.3">
      <c r="B7" s="197" t="s">
        <v>31</v>
      </c>
      <c r="C7" s="198"/>
      <c r="D7" s="69"/>
      <c r="E7" s="69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1"/>
    </row>
    <row r="8" spans="2:19" ht="18" customHeight="1" x14ac:dyDescent="0.3">
      <c r="B8" s="199"/>
      <c r="C8" s="200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/>
    </row>
    <row r="9" spans="2:19" ht="18" customHeight="1" x14ac:dyDescent="0.3">
      <c r="B9" s="207" t="s">
        <v>3</v>
      </c>
      <c r="C9" s="187" t="s">
        <v>4</v>
      </c>
      <c r="D9" s="187" t="s">
        <v>5</v>
      </c>
      <c r="E9" s="187" t="s">
        <v>6</v>
      </c>
      <c r="F9" s="194" t="s">
        <v>0</v>
      </c>
      <c r="G9" s="195"/>
      <c r="H9" s="195"/>
      <c r="I9" s="196"/>
      <c r="J9" s="194" t="s">
        <v>1</v>
      </c>
      <c r="K9" s="195"/>
      <c r="L9" s="195"/>
      <c r="M9" s="196"/>
      <c r="N9" s="187" t="s">
        <v>38</v>
      </c>
      <c r="O9" s="165" t="s">
        <v>84</v>
      </c>
      <c r="P9" s="165" t="s">
        <v>23</v>
      </c>
      <c r="Q9" s="215" t="s">
        <v>2</v>
      </c>
      <c r="R9" s="216"/>
      <c r="S9" s="217"/>
    </row>
    <row r="10" spans="2:19" ht="18" customHeight="1" x14ac:dyDescent="0.3">
      <c r="B10" s="208"/>
      <c r="C10" s="166"/>
      <c r="D10" s="166"/>
      <c r="E10" s="166"/>
      <c r="F10" s="188" t="s">
        <v>30</v>
      </c>
      <c r="G10" s="189"/>
      <c r="H10" s="188" t="s">
        <v>28</v>
      </c>
      <c r="I10" s="189"/>
      <c r="J10" s="188" t="s">
        <v>30</v>
      </c>
      <c r="K10" s="189"/>
      <c r="L10" s="188" t="s">
        <v>28</v>
      </c>
      <c r="M10" s="189"/>
      <c r="N10" s="166"/>
      <c r="O10" s="166"/>
      <c r="P10" s="209"/>
      <c r="Q10" s="176"/>
      <c r="R10" s="218"/>
      <c r="S10" s="219"/>
    </row>
    <row r="11" spans="2:19" ht="18" customHeight="1" x14ac:dyDescent="0.3">
      <c r="B11" s="208"/>
      <c r="C11" s="166"/>
      <c r="D11" s="166"/>
      <c r="E11" s="166"/>
      <c r="F11" s="192" t="s">
        <v>51</v>
      </c>
      <c r="G11" s="193"/>
      <c r="H11" s="192" t="s">
        <v>7</v>
      </c>
      <c r="I11" s="193"/>
      <c r="J11" s="192" t="s">
        <v>51</v>
      </c>
      <c r="K11" s="193"/>
      <c r="L11" s="192" t="s">
        <v>7</v>
      </c>
      <c r="M11" s="193"/>
      <c r="N11" s="166"/>
      <c r="O11" s="166"/>
      <c r="P11" s="209"/>
      <c r="Q11" s="220"/>
      <c r="R11" s="221"/>
      <c r="S11" s="222"/>
    </row>
    <row r="12" spans="2:19" ht="66.650000000000006" customHeight="1" x14ac:dyDescent="0.3">
      <c r="B12" s="160" t="s">
        <v>60</v>
      </c>
      <c r="C12" s="74" t="s">
        <v>45</v>
      </c>
      <c r="D12" s="141">
        <v>1</v>
      </c>
      <c r="E12" s="142" t="s">
        <v>34</v>
      </c>
      <c r="F12" s="190">
        <v>0</v>
      </c>
      <c r="G12" s="191"/>
      <c r="H12" s="190">
        <v>100</v>
      </c>
      <c r="I12" s="191"/>
      <c r="J12" s="190">
        <v>3.5</v>
      </c>
      <c r="K12" s="191"/>
      <c r="L12" s="190">
        <v>120</v>
      </c>
      <c r="M12" s="191"/>
      <c r="N12" s="141" t="s">
        <v>39</v>
      </c>
      <c r="O12" s="141"/>
      <c r="P12" s="142"/>
      <c r="Q12" s="167"/>
      <c r="R12" s="168"/>
      <c r="S12" s="169"/>
    </row>
    <row r="13" spans="2:19" s="1" customFormat="1" ht="68.5" customHeight="1" x14ac:dyDescent="0.3">
      <c r="B13" s="59" t="s">
        <v>72</v>
      </c>
      <c r="C13" s="146" t="s">
        <v>54</v>
      </c>
      <c r="D13" s="100">
        <v>2</v>
      </c>
      <c r="E13" s="103" t="s">
        <v>116</v>
      </c>
      <c r="F13" s="180">
        <v>3</v>
      </c>
      <c r="G13" s="181"/>
      <c r="H13" s="192" t="s">
        <v>63</v>
      </c>
      <c r="I13" s="193"/>
      <c r="J13" s="201">
        <v>5.5</v>
      </c>
      <c r="K13" s="202"/>
      <c r="L13" s="176">
        <v>250</v>
      </c>
      <c r="M13" s="177"/>
      <c r="N13" s="153" t="s">
        <v>89</v>
      </c>
      <c r="O13" s="153"/>
      <c r="P13" s="153"/>
      <c r="Q13" s="170" t="s">
        <v>88</v>
      </c>
      <c r="R13" s="171"/>
      <c r="S13" s="172"/>
    </row>
    <row r="14" spans="2:19" s="1" customFormat="1" ht="65.5" customHeight="1" x14ac:dyDescent="0.3">
      <c r="B14" s="59" t="s">
        <v>112</v>
      </c>
      <c r="C14" s="123" t="s">
        <v>113</v>
      </c>
      <c r="D14" s="113">
        <v>1</v>
      </c>
      <c r="E14" s="124" t="s">
        <v>34</v>
      </c>
      <c r="F14" s="175">
        <v>3</v>
      </c>
      <c r="G14" s="174"/>
      <c r="H14" s="175">
        <v>200</v>
      </c>
      <c r="I14" s="174"/>
      <c r="J14" s="175">
        <v>5</v>
      </c>
      <c r="K14" s="174"/>
      <c r="L14" s="175">
        <v>225</v>
      </c>
      <c r="M14" s="174"/>
      <c r="N14" s="153" t="s">
        <v>89</v>
      </c>
      <c r="O14" s="163"/>
      <c r="P14" s="153"/>
      <c r="Q14" s="115"/>
      <c r="R14" s="116"/>
      <c r="S14" s="117"/>
    </row>
    <row r="15" spans="2:19" s="1" customFormat="1" ht="52" customHeight="1" x14ac:dyDescent="0.3">
      <c r="B15" s="59"/>
      <c r="C15" s="123"/>
      <c r="D15" s="113"/>
      <c r="E15" s="124"/>
      <c r="F15" s="173"/>
      <c r="G15" s="174"/>
      <c r="H15" s="175"/>
      <c r="I15" s="174"/>
      <c r="J15" s="175"/>
      <c r="K15" s="174"/>
      <c r="L15" s="175"/>
      <c r="M15" s="174"/>
      <c r="N15" s="100"/>
      <c r="O15" s="100"/>
      <c r="P15" s="124"/>
      <c r="Q15" s="170"/>
      <c r="R15" s="178"/>
      <c r="S15" s="179"/>
    </row>
    <row r="16" spans="2:19" s="1" customFormat="1" ht="52" customHeight="1" x14ac:dyDescent="0.3">
      <c r="B16" s="59"/>
      <c r="C16" s="75"/>
      <c r="D16" s="100"/>
      <c r="E16" s="103"/>
      <c r="F16" s="231"/>
      <c r="G16" s="193"/>
      <c r="H16" s="192"/>
      <c r="I16" s="193"/>
      <c r="J16" s="226"/>
      <c r="K16" s="181"/>
      <c r="L16" s="192"/>
      <c r="M16" s="193"/>
      <c r="N16" s="103"/>
      <c r="O16" s="103"/>
      <c r="P16" s="103"/>
      <c r="Q16" s="170"/>
      <c r="R16" s="178"/>
      <c r="S16" s="179"/>
    </row>
    <row r="17" spans="2:19" s="1" customFormat="1" ht="62.5" customHeight="1" x14ac:dyDescent="0.3">
      <c r="B17" s="125"/>
      <c r="C17" s="126"/>
      <c r="D17" s="119"/>
      <c r="E17" s="127"/>
      <c r="F17" s="227"/>
      <c r="G17" s="228"/>
      <c r="H17" s="227"/>
      <c r="I17" s="228"/>
      <c r="J17" s="227"/>
      <c r="K17" s="228"/>
      <c r="L17" s="227"/>
      <c r="M17" s="228"/>
      <c r="N17" s="89"/>
      <c r="O17" s="89"/>
      <c r="P17" s="127"/>
      <c r="Q17" s="223"/>
      <c r="R17" s="224"/>
      <c r="S17" s="225"/>
    </row>
    <row r="18" spans="2:19" ht="15.45" x14ac:dyDescent="0.3">
      <c r="B18" s="76" t="s">
        <v>24</v>
      </c>
      <c r="C18" s="7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78"/>
      <c r="R18" s="78"/>
      <c r="S18" s="79"/>
    </row>
    <row r="19" spans="2:19" x14ac:dyDescent="0.3">
      <c r="B19" s="80"/>
      <c r="C19" s="229"/>
      <c r="D19" s="230"/>
      <c r="E19" s="230"/>
      <c r="F19" s="230"/>
      <c r="G19" s="230"/>
      <c r="H19" s="230"/>
      <c r="I19" s="230"/>
      <c r="J19" s="230"/>
      <c r="K19" s="230"/>
      <c r="L19" s="230"/>
      <c r="M19" s="230"/>
      <c r="N19" s="230"/>
      <c r="O19" s="230"/>
      <c r="P19" s="230"/>
      <c r="Q19" s="81"/>
      <c r="R19" s="82"/>
      <c r="S19" s="83"/>
    </row>
    <row r="20" spans="2:19" x14ac:dyDescent="0.3">
      <c r="B20" s="42"/>
      <c r="S20" s="43"/>
    </row>
    <row r="21" spans="2:19" x14ac:dyDescent="0.3">
      <c r="B21" s="39"/>
      <c r="C21" s="183"/>
      <c r="D21" s="183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S21" s="43"/>
    </row>
    <row r="22" spans="2:19" ht="15.45" x14ac:dyDescent="0.3">
      <c r="B22" s="40" t="s">
        <v>11</v>
      </c>
      <c r="C22" s="182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1"/>
      <c r="R22" s="11"/>
      <c r="S22" s="41"/>
    </row>
    <row r="23" spans="2:19" x14ac:dyDescent="0.3">
      <c r="B23" s="42"/>
      <c r="C23" s="182"/>
      <c r="D23" s="183"/>
      <c r="E23" s="183"/>
      <c r="F23" s="183"/>
      <c r="G23" s="183"/>
      <c r="H23" s="183"/>
      <c r="I23" s="183"/>
      <c r="J23" s="183"/>
      <c r="K23" s="183"/>
      <c r="L23" s="183"/>
      <c r="M23" s="183"/>
      <c r="N23" s="183"/>
      <c r="O23" s="183"/>
      <c r="P23" s="183"/>
      <c r="Q23" s="16"/>
      <c r="R23" s="16"/>
      <c r="S23" s="44"/>
    </row>
    <row r="24" spans="2:19" x14ac:dyDescent="0.3">
      <c r="B24" s="42"/>
      <c r="C24" s="182"/>
      <c r="D24" s="183"/>
      <c r="E24" s="183"/>
      <c r="F24" s="183"/>
      <c r="G24" s="183"/>
      <c r="H24" s="183"/>
      <c r="I24" s="183"/>
      <c r="J24" s="183"/>
      <c r="K24" s="183"/>
      <c r="L24" s="183"/>
      <c r="M24" s="183"/>
      <c r="N24" s="183"/>
      <c r="O24" s="183"/>
      <c r="P24" s="183"/>
      <c r="Q24" s="16"/>
      <c r="R24" s="16"/>
      <c r="S24" s="45"/>
    </row>
    <row r="25" spans="2:19" x14ac:dyDescent="0.3">
      <c r="B25" s="42"/>
      <c r="Q25" s="16"/>
      <c r="R25" s="16"/>
      <c r="S25" s="45"/>
    </row>
    <row r="26" spans="2:19" x14ac:dyDescent="0.3">
      <c r="B26" s="46"/>
      <c r="C26" s="47"/>
      <c r="D26" s="48"/>
      <c r="E26" s="48"/>
      <c r="F26" s="47"/>
      <c r="G26" s="47"/>
      <c r="H26" s="49"/>
      <c r="I26" s="47"/>
      <c r="J26" s="47"/>
      <c r="K26" s="47"/>
      <c r="L26" s="47"/>
      <c r="M26" s="47"/>
      <c r="N26" s="48"/>
      <c r="O26" s="48"/>
      <c r="P26" s="48"/>
      <c r="Q26" s="50"/>
      <c r="R26" s="50"/>
      <c r="S26" s="51"/>
    </row>
    <row r="47" spans="3:3" x14ac:dyDescent="0.3">
      <c r="C47" s="18"/>
    </row>
    <row r="60" ht="18" customHeight="1" x14ac:dyDescent="0.3"/>
  </sheetData>
  <mergeCells count="57">
    <mergeCell ref="C19:P19"/>
    <mergeCell ref="F14:G14"/>
    <mergeCell ref="H14:I14"/>
    <mergeCell ref="F17:G17"/>
    <mergeCell ref="H17:I17"/>
    <mergeCell ref="F16:G16"/>
    <mergeCell ref="H16:I16"/>
    <mergeCell ref="Q17:S17"/>
    <mergeCell ref="J14:K14"/>
    <mergeCell ref="L14:M14"/>
    <mergeCell ref="L16:M16"/>
    <mergeCell ref="Q16:S16"/>
    <mergeCell ref="J16:K16"/>
    <mergeCell ref="J17:K17"/>
    <mergeCell ref="L17:M17"/>
    <mergeCell ref="B2:C6"/>
    <mergeCell ref="H12:I12"/>
    <mergeCell ref="L10:M10"/>
    <mergeCell ref="R3:S3"/>
    <mergeCell ref="J10:K10"/>
    <mergeCell ref="D9:D11"/>
    <mergeCell ref="B9:B11"/>
    <mergeCell ref="C9:C11"/>
    <mergeCell ref="P9:P11"/>
    <mergeCell ref="D2:P5"/>
    <mergeCell ref="F12:G12"/>
    <mergeCell ref="Q9:S11"/>
    <mergeCell ref="F9:I9"/>
    <mergeCell ref="H11:I11"/>
    <mergeCell ref="F10:G10"/>
    <mergeCell ref="N9:N11"/>
    <mergeCell ref="C23:P23"/>
    <mergeCell ref="C24:P24"/>
    <mergeCell ref="D6:P6"/>
    <mergeCell ref="E9:E11"/>
    <mergeCell ref="H10:I10"/>
    <mergeCell ref="L12:M12"/>
    <mergeCell ref="J11:K11"/>
    <mergeCell ref="J12:K12"/>
    <mergeCell ref="F11:G11"/>
    <mergeCell ref="J9:M9"/>
    <mergeCell ref="C22:P22"/>
    <mergeCell ref="C21:P21"/>
    <mergeCell ref="B7:C8"/>
    <mergeCell ref="L11:M11"/>
    <mergeCell ref="H13:I13"/>
    <mergeCell ref="J13:K13"/>
    <mergeCell ref="O9:O11"/>
    <mergeCell ref="Q12:S12"/>
    <mergeCell ref="Q13:S13"/>
    <mergeCell ref="F15:G15"/>
    <mergeCell ref="H15:I15"/>
    <mergeCell ref="J15:K15"/>
    <mergeCell ref="L15:M15"/>
    <mergeCell ref="L13:M13"/>
    <mergeCell ref="Q15:S15"/>
    <mergeCell ref="F13:G13"/>
  </mergeCells>
  <phoneticPr fontId="2" type="noConversion"/>
  <printOptions horizontalCentered="1"/>
  <pageMargins left="0" right="0" top="0.78740157480314965" bottom="0.19685039370078741" header="0.78740157480314965" footer="0"/>
  <pageSetup paperSize="9" scale="3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7"/>
  <dimension ref="A2:T55"/>
  <sheetViews>
    <sheetView view="pageBreakPreview" zoomScale="50" zoomScaleNormal="50" zoomScaleSheetLayoutView="50" workbookViewId="0">
      <pane xSplit="2" topLeftCell="D1" activePane="topRight" state="frozen"/>
      <selection activeCell="O12" sqref="O12:P15"/>
      <selection pane="topRight" activeCell="D6" sqref="D6:P6"/>
    </sheetView>
  </sheetViews>
  <sheetFormatPr baseColWidth="10" defaultColWidth="11.4609375" defaultRowHeight="15" x14ac:dyDescent="0.3"/>
  <cols>
    <col min="1" max="1" width="5.4609375" style="6" customWidth="1"/>
    <col min="2" max="2" width="33.15234375" style="6" customWidth="1"/>
    <col min="3" max="3" width="41" style="6" customWidth="1"/>
    <col min="4" max="4" width="10.15234375" style="5" customWidth="1"/>
    <col min="5" max="5" width="28.53515625" style="5" customWidth="1"/>
    <col min="6" max="6" width="27.4609375" style="5" customWidth="1"/>
    <col min="7" max="8" width="14.4609375" style="6" customWidth="1"/>
    <col min="9" max="9" width="14.4609375" style="7" customWidth="1"/>
    <col min="10" max="15" width="14.4609375" style="6" customWidth="1"/>
    <col min="16" max="16" width="24.84375" style="6" customWidth="1"/>
    <col min="17" max="17" width="17.53515625" style="5" customWidth="1"/>
    <col min="18" max="18" width="18.84375" style="8" customWidth="1"/>
    <col min="19" max="19" width="31.69140625" style="8" customWidth="1"/>
    <col min="20" max="20" width="22.84375" style="6" customWidth="1"/>
    <col min="21" max="16384" width="11.4609375" style="6"/>
  </cols>
  <sheetData>
    <row r="2" spans="1:20" ht="18" customHeight="1" x14ac:dyDescent="0.3">
      <c r="B2" s="188"/>
      <c r="C2" s="189"/>
      <c r="D2" s="197" t="str">
        <f>VESSELS_SRF!D2</f>
        <v>Mon CHEMICAL PLANT</v>
      </c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92" t="s">
        <v>18</v>
      </c>
      <c r="R2" s="61" t="str">
        <f>VESSELS_SRF!R2</f>
        <v>MY_ONE</v>
      </c>
      <c r="S2" s="84"/>
      <c r="T2" s="62"/>
    </row>
    <row r="3" spans="1:20" ht="18" customHeight="1" x14ac:dyDescent="0.3">
      <c r="B3" s="192"/>
      <c r="C3" s="193"/>
      <c r="D3" s="212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93" t="s">
        <v>21</v>
      </c>
      <c r="R3" s="205" t="str">
        <f>VESSELS_SRF!R3</f>
        <v>Client 1</v>
      </c>
      <c r="S3" s="244"/>
      <c r="T3" s="206"/>
    </row>
    <row r="4" spans="1:20" ht="18" customHeight="1" x14ac:dyDescent="0.3">
      <c r="B4" s="192"/>
      <c r="C4" s="193"/>
      <c r="D4" s="212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93" t="s">
        <v>20</v>
      </c>
      <c r="R4" s="205" t="str">
        <f>VESSELS_SRF!R4</f>
        <v>TECH</v>
      </c>
      <c r="S4" s="244"/>
      <c r="T4" s="206"/>
    </row>
    <row r="5" spans="1:20" ht="18" customHeight="1" x14ac:dyDescent="0.3">
      <c r="B5" s="192"/>
      <c r="C5" s="193"/>
      <c r="D5" s="212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93" t="s">
        <v>14</v>
      </c>
      <c r="R5" s="64" t="str">
        <f>VESSELS_SRF!R5</f>
        <v>U_A</v>
      </c>
      <c r="S5" s="94"/>
      <c r="T5" s="65"/>
    </row>
    <row r="6" spans="1:20" ht="18" customHeight="1" x14ac:dyDescent="0.3">
      <c r="B6" s="203"/>
      <c r="C6" s="204"/>
      <c r="D6" s="184" t="str">
        <f>VESSELS_SRF!D6</f>
        <v>EQUIPMENT LIST FOR NEW PACKAGE</v>
      </c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5"/>
      <c r="Q6" s="95" t="s">
        <v>19</v>
      </c>
      <c r="R6" s="67" t="s">
        <v>47</v>
      </c>
      <c r="S6" s="85"/>
      <c r="T6" s="68"/>
    </row>
    <row r="7" spans="1:20" ht="18" customHeight="1" x14ac:dyDescent="0.3">
      <c r="B7" s="197" t="s">
        <v>15</v>
      </c>
      <c r="C7" s="210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96"/>
    </row>
    <row r="8" spans="1:20" s="5" customFormat="1" ht="18" customHeight="1" x14ac:dyDescent="0.3">
      <c r="B8" s="212"/>
      <c r="C8" s="213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7"/>
    </row>
    <row r="9" spans="1:20" s="5" customFormat="1" ht="26.5" customHeight="1" x14ac:dyDescent="0.3">
      <c r="B9" s="232" t="s">
        <v>3</v>
      </c>
      <c r="C9" s="232" t="s">
        <v>4</v>
      </c>
      <c r="D9" s="232" t="s">
        <v>5</v>
      </c>
      <c r="E9" s="188" t="s">
        <v>6</v>
      </c>
      <c r="F9" s="189"/>
      <c r="G9" s="234" t="s">
        <v>12</v>
      </c>
      <c r="H9" s="235"/>
      <c r="I9" s="235"/>
      <c r="J9" s="236"/>
      <c r="K9" s="237" t="s">
        <v>13</v>
      </c>
      <c r="L9" s="238"/>
      <c r="M9" s="238"/>
      <c r="N9" s="239"/>
      <c r="O9" s="240" t="s">
        <v>84</v>
      </c>
      <c r="P9" s="240" t="s">
        <v>43</v>
      </c>
      <c r="Q9" s="188" t="s">
        <v>10</v>
      </c>
      <c r="R9" s="241"/>
      <c r="S9" s="249" t="s">
        <v>2</v>
      </c>
      <c r="T9" s="250"/>
    </row>
    <row r="10" spans="1:20" ht="18" customHeight="1" x14ac:dyDescent="0.3">
      <c r="A10" s="5"/>
      <c r="B10" s="166"/>
      <c r="C10" s="166"/>
      <c r="D10" s="166"/>
      <c r="E10" s="192"/>
      <c r="F10" s="193"/>
      <c r="G10" s="188" t="s">
        <v>30</v>
      </c>
      <c r="H10" s="189"/>
      <c r="I10" s="188" t="s">
        <v>28</v>
      </c>
      <c r="J10" s="189"/>
      <c r="K10" s="188" t="s">
        <v>30</v>
      </c>
      <c r="L10" s="189"/>
      <c r="M10" s="188" t="s">
        <v>28</v>
      </c>
      <c r="N10" s="189"/>
      <c r="O10" s="166"/>
      <c r="P10" s="166"/>
      <c r="Q10" s="240" t="s">
        <v>35</v>
      </c>
      <c r="R10" s="240" t="s">
        <v>25</v>
      </c>
      <c r="S10" s="176"/>
      <c r="T10" s="177"/>
    </row>
    <row r="11" spans="1:20" ht="18" customHeight="1" x14ac:dyDescent="0.3">
      <c r="A11" s="5"/>
      <c r="B11" s="166"/>
      <c r="C11" s="166"/>
      <c r="D11" s="166"/>
      <c r="E11" s="203"/>
      <c r="F11" s="204"/>
      <c r="G11" s="192" t="s">
        <v>51</v>
      </c>
      <c r="H11" s="193"/>
      <c r="I11" s="192" t="s">
        <v>7</v>
      </c>
      <c r="J11" s="193"/>
      <c r="K11" s="192" t="s">
        <v>51</v>
      </c>
      <c r="L11" s="193"/>
      <c r="M11" s="192" t="s">
        <v>7</v>
      </c>
      <c r="N11" s="193"/>
      <c r="O11" s="166"/>
      <c r="P11" s="166"/>
      <c r="Q11" s="242"/>
      <c r="R11" s="166"/>
      <c r="S11" s="176"/>
      <c r="T11" s="177"/>
    </row>
    <row r="12" spans="1:20" ht="42.75" customHeight="1" x14ac:dyDescent="0.3">
      <c r="A12" s="5"/>
      <c r="B12" s="233"/>
      <c r="C12" s="233"/>
      <c r="D12" s="233"/>
      <c r="E12" s="89" t="s">
        <v>26</v>
      </c>
      <c r="F12" s="89" t="s">
        <v>27</v>
      </c>
      <c r="G12" s="97" t="s">
        <v>26</v>
      </c>
      <c r="H12" s="97" t="s">
        <v>27</v>
      </c>
      <c r="I12" s="97" t="s">
        <v>26</v>
      </c>
      <c r="J12" s="97" t="s">
        <v>27</v>
      </c>
      <c r="K12" s="97" t="s">
        <v>26</v>
      </c>
      <c r="L12" s="97" t="s">
        <v>27</v>
      </c>
      <c r="M12" s="97" t="s">
        <v>26</v>
      </c>
      <c r="N12" s="97" t="s">
        <v>27</v>
      </c>
      <c r="O12" s="233"/>
      <c r="P12" s="233"/>
      <c r="Q12" s="243"/>
      <c r="R12" s="233"/>
      <c r="S12" s="251"/>
      <c r="T12" s="252"/>
    </row>
    <row r="13" spans="1:20" s="1" customFormat="1" ht="49.5" customHeight="1" x14ac:dyDescent="0.3">
      <c r="B13" s="161" t="s">
        <v>61</v>
      </c>
      <c r="C13" s="145" t="s">
        <v>50</v>
      </c>
      <c r="D13" s="101">
        <v>1</v>
      </c>
      <c r="E13" s="104" t="s">
        <v>36</v>
      </c>
      <c r="F13" s="105" t="s">
        <v>36</v>
      </c>
      <c r="G13" s="131">
        <v>37</v>
      </c>
      <c r="H13" s="113">
        <v>16.5</v>
      </c>
      <c r="I13" s="19">
        <v>247</v>
      </c>
      <c r="J13" s="113" t="s">
        <v>63</v>
      </c>
      <c r="K13" s="5" t="s">
        <v>90</v>
      </c>
      <c r="L13" s="114">
        <v>20</v>
      </c>
      <c r="M13" s="19">
        <v>280</v>
      </c>
      <c r="N13" s="124">
        <v>250</v>
      </c>
      <c r="O13" s="143"/>
      <c r="P13" s="149">
        <v>37</v>
      </c>
      <c r="Q13" s="124"/>
      <c r="R13" s="19"/>
      <c r="S13" s="247" t="s">
        <v>91</v>
      </c>
      <c r="T13" s="248"/>
    </row>
    <row r="14" spans="1:20" s="1" customFormat="1" ht="73.5" customHeight="1" x14ac:dyDescent="0.3">
      <c r="B14" s="59" t="s">
        <v>74</v>
      </c>
      <c r="C14" s="88" t="s">
        <v>55</v>
      </c>
      <c r="D14" s="100">
        <v>1</v>
      </c>
      <c r="E14" s="103" t="s">
        <v>36</v>
      </c>
      <c r="F14" s="102" t="s">
        <v>97</v>
      </c>
      <c r="G14" s="121">
        <v>0</v>
      </c>
      <c r="H14" s="113">
        <v>33</v>
      </c>
      <c r="I14" s="19" t="s">
        <v>123</v>
      </c>
      <c r="J14" s="19">
        <v>253</v>
      </c>
      <c r="K14" s="113">
        <v>1</v>
      </c>
      <c r="L14" s="155" t="s">
        <v>124</v>
      </c>
      <c r="M14" s="19">
        <v>350</v>
      </c>
      <c r="N14" s="113">
        <v>280</v>
      </c>
      <c r="O14" s="132"/>
      <c r="P14" s="132">
        <v>6000</v>
      </c>
      <c r="Q14" s="124"/>
      <c r="R14" s="133"/>
      <c r="S14" s="247" t="s">
        <v>111</v>
      </c>
      <c r="T14" s="248"/>
    </row>
    <row r="15" spans="1:20" s="1" customFormat="1" ht="42.75" customHeight="1" x14ac:dyDescent="0.3">
      <c r="B15" s="88"/>
      <c r="C15" s="75"/>
      <c r="D15" s="100"/>
      <c r="E15" s="103"/>
      <c r="F15" s="102"/>
      <c r="G15" s="121"/>
      <c r="H15" s="113"/>
      <c r="I15" s="19"/>
      <c r="J15" s="19"/>
      <c r="K15" s="113"/>
      <c r="L15" s="114"/>
      <c r="M15" s="19"/>
      <c r="N15" s="113"/>
      <c r="O15" s="19"/>
      <c r="P15" s="19"/>
      <c r="Q15" s="124"/>
      <c r="R15" s="133"/>
      <c r="S15" s="247"/>
      <c r="T15" s="248"/>
    </row>
    <row r="16" spans="1:20" s="1" customFormat="1" ht="42.65" customHeight="1" x14ac:dyDescent="0.3">
      <c r="B16" s="88"/>
      <c r="C16" s="75"/>
      <c r="D16" s="100"/>
      <c r="E16" s="103"/>
      <c r="F16" s="102"/>
      <c r="G16" s="121"/>
      <c r="H16" s="113"/>
      <c r="I16" s="19"/>
      <c r="J16" s="113"/>
      <c r="K16" s="5"/>
      <c r="L16" s="134"/>
      <c r="M16" s="19"/>
      <c r="N16" s="113"/>
      <c r="O16" s="19"/>
      <c r="P16" s="132"/>
      <c r="Q16" s="124"/>
      <c r="R16" s="133"/>
      <c r="S16" s="247"/>
      <c r="T16" s="248"/>
    </row>
    <row r="17" spans="2:20" s="1" customFormat="1" ht="42.65" customHeight="1" x14ac:dyDescent="0.3">
      <c r="B17" s="88"/>
      <c r="C17" s="75"/>
      <c r="D17" s="100"/>
      <c r="E17" s="103"/>
      <c r="F17" s="102"/>
      <c r="G17" s="112"/>
      <c r="H17" s="113"/>
      <c r="I17" s="19"/>
      <c r="J17" s="113"/>
      <c r="K17" s="5"/>
      <c r="L17" s="134"/>
      <c r="M17" s="19"/>
      <c r="N17" s="113"/>
      <c r="O17" s="113"/>
      <c r="P17" s="135"/>
      <c r="Q17" s="124"/>
      <c r="R17" s="19"/>
      <c r="S17" s="247"/>
      <c r="T17" s="248"/>
    </row>
    <row r="18" spans="2:20" s="1" customFormat="1" ht="44.15" customHeight="1" x14ac:dyDescent="0.3">
      <c r="B18" s="106"/>
      <c r="C18" s="107"/>
      <c r="D18" s="89"/>
      <c r="E18" s="118"/>
      <c r="F18" s="120"/>
      <c r="G18" s="136"/>
      <c r="H18" s="128"/>
      <c r="I18" s="122"/>
      <c r="J18" s="128"/>
      <c r="K18" s="32"/>
      <c r="L18" s="137"/>
      <c r="M18" s="122"/>
      <c r="N18" s="129"/>
      <c r="O18" s="154"/>
      <c r="P18" s="138"/>
      <c r="Q18" s="118"/>
      <c r="R18" s="89"/>
      <c r="S18" s="245"/>
      <c r="T18" s="246"/>
    </row>
    <row r="19" spans="2:20" ht="15" customHeight="1" x14ac:dyDescent="0.3">
      <c r="B19" s="90" t="s">
        <v>24</v>
      </c>
      <c r="C19" s="7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78"/>
      <c r="S19" s="78"/>
      <c r="T19" s="91"/>
    </row>
    <row r="20" spans="2:20" ht="15" customHeight="1" x14ac:dyDescent="0.3">
      <c r="B20" s="27"/>
      <c r="C20" s="182"/>
      <c r="D20" s="183"/>
      <c r="E20" s="183"/>
      <c r="F20" s="183"/>
      <c r="G20" s="183"/>
      <c r="H20" s="183"/>
      <c r="I20" s="183"/>
      <c r="J20" s="183"/>
      <c r="K20" s="183"/>
      <c r="L20" s="183"/>
      <c r="M20" s="183"/>
      <c r="N20" s="183"/>
      <c r="O20" s="183"/>
      <c r="P20" s="183"/>
      <c r="Q20" s="6"/>
      <c r="R20" s="16"/>
      <c r="S20" s="12"/>
      <c r="T20" s="17"/>
    </row>
    <row r="21" spans="2:20" ht="15" customHeight="1" x14ac:dyDescent="0.3">
      <c r="B21" s="27"/>
      <c r="T21" s="29"/>
    </row>
    <row r="22" spans="2:20" ht="15" customHeight="1" x14ac:dyDescent="0.3">
      <c r="B22" s="19"/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T22" s="29"/>
    </row>
    <row r="23" spans="2:20" ht="15" customHeight="1" x14ac:dyDescent="0.3">
      <c r="B23" s="25" t="s">
        <v>11</v>
      </c>
      <c r="C23" s="13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1"/>
      <c r="R23" s="11"/>
      <c r="S23" s="15"/>
      <c r="T23" s="26"/>
    </row>
    <row r="24" spans="2:20" x14ac:dyDescent="0.3">
      <c r="B24" s="27"/>
      <c r="C24" s="13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6"/>
      <c r="R24" s="12"/>
      <c r="S24" s="5"/>
      <c r="T24" s="28"/>
    </row>
    <row r="25" spans="2:20" x14ac:dyDescent="0.3">
      <c r="B25" s="27"/>
      <c r="C25" s="13"/>
      <c r="Q25" s="16"/>
      <c r="R25" s="16"/>
      <c r="S25" s="5"/>
      <c r="T25" s="34"/>
    </row>
    <row r="26" spans="2:20" x14ac:dyDescent="0.3">
      <c r="B26" s="27"/>
      <c r="C26" s="13"/>
      <c r="Q26" s="16"/>
      <c r="R26" s="16"/>
      <c r="S26" s="5"/>
      <c r="T26" s="34"/>
    </row>
    <row r="27" spans="2:20" x14ac:dyDescent="0.3">
      <c r="B27" s="27"/>
      <c r="C27" s="13"/>
      <c r="Q27" s="16"/>
      <c r="R27" s="16"/>
      <c r="S27" s="5"/>
      <c r="T27" s="34"/>
    </row>
    <row r="28" spans="2:20" x14ac:dyDescent="0.3">
      <c r="B28" s="30"/>
      <c r="C28" s="52"/>
      <c r="D28" s="32"/>
      <c r="E28" s="32"/>
      <c r="F28" s="32"/>
      <c r="G28" s="31"/>
      <c r="H28" s="31"/>
      <c r="I28" s="33"/>
      <c r="J28" s="31"/>
      <c r="K28" s="31"/>
      <c r="L28" s="31"/>
      <c r="M28" s="31"/>
      <c r="N28" s="31"/>
      <c r="O28" s="31"/>
      <c r="P28" s="31"/>
      <c r="Q28" s="35"/>
      <c r="R28" s="35"/>
      <c r="S28" s="31"/>
      <c r="T28" s="36"/>
    </row>
    <row r="29" spans="2:20" x14ac:dyDescent="0.3">
      <c r="C29" s="13"/>
      <c r="Q29" s="8"/>
      <c r="S29" s="6"/>
    </row>
    <row r="35" spans="6:7" ht="15.75" customHeight="1" x14ac:dyDescent="0.3">
      <c r="F35" s="8"/>
      <c r="G35" s="8"/>
    </row>
    <row r="55" ht="18" customHeight="1" x14ac:dyDescent="0.3"/>
  </sheetData>
  <mergeCells count="34">
    <mergeCell ref="R3:T3"/>
    <mergeCell ref="S18:T18"/>
    <mergeCell ref="S17:T17"/>
    <mergeCell ref="S9:T12"/>
    <mergeCell ref="R10:R12"/>
    <mergeCell ref="S14:T14"/>
    <mergeCell ref="S13:T13"/>
    <mergeCell ref="S16:T16"/>
    <mergeCell ref="S15:T15"/>
    <mergeCell ref="R4:T4"/>
    <mergeCell ref="C22:Q22"/>
    <mergeCell ref="C20:P20"/>
    <mergeCell ref="E9:F11"/>
    <mergeCell ref="I11:J11"/>
    <mergeCell ref="G10:H10"/>
    <mergeCell ref="Q9:R9"/>
    <mergeCell ref="Q10:Q12"/>
    <mergeCell ref="P9:P12"/>
    <mergeCell ref="D2:P5"/>
    <mergeCell ref="D6:P6"/>
    <mergeCell ref="B7:C8"/>
    <mergeCell ref="B2:C6"/>
    <mergeCell ref="G11:H11"/>
    <mergeCell ref="B9:B12"/>
    <mergeCell ref="C9:C12"/>
    <mergeCell ref="I10:J10"/>
    <mergeCell ref="D9:D12"/>
    <mergeCell ref="G9:J9"/>
    <mergeCell ref="K10:L10"/>
    <mergeCell ref="M11:N11"/>
    <mergeCell ref="K11:L11"/>
    <mergeCell ref="M10:N10"/>
    <mergeCell ref="K9:N9"/>
    <mergeCell ref="O9:O12"/>
  </mergeCells>
  <phoneticPr fontId="2" type="noConversion"/>
  <printOptions horizontalCentered="1"/>
  <pageMargins left="0" right="0" top="0.78740157480314965" bottom="0.19685039370078741" header="0" footer="0"/>
  <pageSetup paperSize="9" scale="37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B2:T50"/>
  <sheetViews>
    <sheetView view="pageBreakPreview" zoomScale="50" zoomScaleNormal="50" zoomScaleSheetLayoutView="50" workbookViewId="0">
      <pane xSplit="2" topLeftCell="C1" activePane="topRight" state="frozen"/>
      <selection activeCell="O12" sqref="O12:P15"/>
      <selection pane="topRight" activeCell="O16" sqref="O16"/>
    </sheetView>
  </sheetViews>
  <sheetFormatPr baseColWidth="10" defaultColWidth="11.4609375" defaultRowHeight="15" x14ac:dyDescent="0.3"/>
  <cols>
    <col min="1" max="1" width="4" style="6" customWidth="1"/>
    <col min="2" max="2" width="36.23046875" style="6" bestFit="1" customWidth="1"/>
    <col min="3" max="3" width="41.4609375" style="6" customWidth="1"/>
    <col min="4" max="4" width="10.15234375" style="5" customWidth="1"/>
    <col min="5" max="5" width="37.53515625" style="5" customWidth="1"/>
    <col min="6" max="7" width="11.15234375" style="6" customWidth="1"/>
    <col min="8" max="8" width="11.15234375" style="7" customWidth="1"/>
    <col min="9" max="9" width="11.15234375" style="6" customWidth="1"/>
    <col min="10" max="11" width="9.53515625" style="6" customWidth="1"/>
    <col min="12" max="12" width="17.4609375" style="6" customWidth="1"/>
    <col min="13" max="13" width="18.4609375" style="6" customWidth="1"/>
    <col min="14" max="15" width="26.15234375" style="5" customWidth="1"/>
    <col min="16" max="16" width="22.53515625" style="5" customWidth="1"/>
    <col min="17" max="17" width="19" style="8" customWidth="1"/>
    <col min="18" max="18" width="17.53515625" style="8" customWidth="1"/>
    <col min="19" max="19" width="21" style="6" customWidth="1"/>
    <col min="20" max="16384" width="11.4609375" style="6"/>
  </cols>
  <sheetData>
    <row r="2" spans="2:20" ht="18" customHeight="1" x14ac:dyDescent="0.3">
      <c r="B2" s="188"/>
      <c r="C2" s="189"/>
      <c r="D2" s="197" t="str">
        <f>VESSELS_SRF!D2</f>
        <v>Mon CHEMICAL PLANT</v>
      </c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1"/>
      <c r="Q2" s="60" t="s">
        <v>18</v>
      </c>
      <c r="R2" s="61" t="str">
        <f>VESSELS_SRF!R2</f>
        <v>MY_ONE</v>
      </c>
      <c r="S2" s="62"/>
    </row>
    <row r="3" spans="2:20" ht="18" customHeight="1" x14ac:dyDescent="0.3">
      <c r="B3" s="192"/>
      <c r="C3" s="193"/>
      <c r="D3" s="212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4"/>
      <c r="Q3" s="63" t="s">
        <v>21</v>
      </c>
      <c r="R3" s="205" t="str">
        <f>VESSELS_SRF!R3</f>
        <v>Client 1</v>
      </c>
      <c r="S3" s="206"/>
    </row>
    <row r="4" spans="2:20" ht="18" customHeight="1" x14ac:dyDescent="0.3">
      <c r="B4" s="192"/>
      <c r="C4" s="193"/>
      <c r="D4" s="212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4"/>
      <c r="Q4" s="63" t="s">
        <v>20</v>
      </c>
      <c r="R4" s="205" t="str">
        <f>VESSELS_SRF!R4</f>
        <v>TECH</v>
      </c>
      <c r="S4" s="206"/>
    </row>
    <row r="5" spans="2:20" ht="18" customHeight="1" x14ac:dyDescent="0.3">
      <c r="B5" s="192"/>
      <c r="C5" s="193"/>
      <c r="D5" s="212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4"/>
      <c r="Q5" s="63" t="s">
        <v>14</v>
      </c>
      <c r="R5" s="64" t="str">
        <f>VESSELS_SRF!R5</f>
        <v>U_A</v>
      </c>
      <c r="S5" s="65"/>
    </row>
    <row r="6" spans="2:20" ht="18" customHeight="1" x14ac:dyDescent="0.3">
      <c r="B6" s="203"/>
      <c r="C6" s="204"/>
      <c r="D6" s="184" t="str">
        <f>VESSELS_SRF!D6</f>
        <v>EQUIPMENT LIST FOR NEW PACKAGE</v>
      </c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6"/>
      <c r="Q6" s="66" t="s">
        <v>19</v>
      </c>
      <c r="R6" s="67" t="s">
        <v>48</v>
      </c>
      <c r="S6" s="68"/>
    </row>
    <row r="7" spans="2:20" ht="18" customHeight="1" x14ac:dyDescent="0.3">
      <c r="B7" s="197" t="s">
        <v>16</v>
      </c>
      <c r="C7" s="21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1"/>
    </row>
    <row r="8" spans="2:20" ht="18" customHeight="1" x14ac:dyDescent="0.3">
      <c r="B8" s="212"/>
      <c r="C8" s="213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7"/>
    </row>
    <row r="9" spans="2:20" ht="18" customHeight="1" x14ac:dyDescent="0.3">
      <c r="B9" s="232" t="s">
        <v>3</v>
      </c>
      <c r="C9" s="232" t="s">
        <v>4</v>
      </c>
      <c r="D9" s="232" t="s">
        <v>5</v>
      </c>
      <c r="E9" s="232" t="s">
        <v>6</v>
      </c>
      <c r="F9" s="263" t="s">
        <v>0</v>
      </c>
      <c r="G9" s="264"/>
      <c r="H9" s="264"/>
      <c r="I9" s="265"/>
      <c r="J9" s="257" t="s">
        <v>52</v>
      </c>
      <c r="K9" s="258"/>
      <c r="L9" s="249" t="s">
        <v>32</v>
      </c>
      <c r="M9" s="240" t="s">
        <v>41</v>
      </c>
      <c r="N9" s="240" t="s">
        <v>8</v>
      </c>
      <c r="O9" s="240" t="s">
        <v>84</v>
      </c>
      <c r="P9" s="240" t="s">
        <v>44</v>
      </c>
      <c r="Q9" s="249" t="s">
        <v>2</v>
      </c>
      <c r="R9" s="253"/>
      <c r="S9" s="250"/>
    </row>
    <row r="10" spans="2:20" ht="18" customHeight="1" x14ac:dyDescent="0.3">
      <c r="B10" s="166"/>
      <c r="C10" s="166"/>
      <c r="D10" s="166"/>
      <c r="E10" s="166"/>
      <c r="F10" s="188" t="s">
        <v>33</v>
      </c>
      <c r="G10" s="189"/>
      <c r="H10" s="188" t="s">
        <v>28</v>
      </c>
      <c r="I10" s="189"/>
      <c r="J10" s="259"/>
      <c r="K10" s="260"/>
      <c r="L10" s="176"/>
      <c r="M10" s="242"/>
      <c r="N10" s="255"/>
      <c r="O10" s="255"/>
      <c r="P10" s="255"/>
      <c r="Q10" s="176"/>
      <c r="R10" s="218"/>
      <c r="S10" s="177"/>
    </row>
    <row r="11" spans="2:20" ht="18" customHeight="1" x14ac:dyDescent="0.3">
      <c r="B11" s="233"/>
      <c r="C11" s="233"/>
      <c r="D11" s="233"/>
      <c r="E11" s="233"/>
      <c r="F11" s="203" t="s">
        <v>51</v>
      </c>
      <c r="G11" s="204"/>
      <c r="H11" s="203" t="s">
        <v>7</v>
      </c>
      <c r="I11" s="204"/>
      <c r="J11" s="261"/>
      <c r="K11" s="262"/>
      <c r="L11" s="251"/>
      <c r="M11" s="243"/>
      <c r="N11" s="256"/>
      <c r="O11" s="256"/>
      <c r="P11" s="256" t="s">
        <v>9</v>
      </c>
      <c r="Q11" s="251"/>
      <c r="R11" s="254"/>
      <c r="S11" s="252"/>
    </row>
    <row r="12" spans="2:20" ht="42.75" customHeight="1" x14ac:dyDescent="0.3">
      <c r="B12" s="88" t="s">
        <v>62</v>
      </c>
      <c r="C12" s="146" t="s">
        <v>53</v>
      </c>
      <c r="D12" s="108">
        <v>2</v>
      </c>
      <c r="E12" s="103" t="s">
        <v>92</v>
      </c>
      <c r="F12" s="201">
        <v>2.9</v>
      </c>
      <c r="G12" s="266"/>
      <c r="H12" s="192" t="s">
        <v>63</v>
      </c>
      <c r="I12" s="193"/>
      <c r="J12" s="267">
        <v>15.1</v>
      </c>
      <c r="K12" s="266"/>
      <c r="L12" s="144">
        <v>2</v>
      </c>
      <c r="M12" s="139" t="s">
        <v>42</v>
      </c>
      <c r="N12" s="102" t="s">
        <v>85</v>
      </c>
      <c r="O12" s="102"/>
      <c r="P12" s="150">
        <v>2.1</v>
      </c>
      <c r="Q12" s="170" t="s">
        <v>118</v>
      </c>
      <c r="R12" s="171"/>
      <c r="S12" s="268"/>
      <c r="T12" s="151">
        <f>+L12*J12/36/0.8</f>
        <v>1.0486111111111112</v>
      </c>
    </row>
    <row r="13" spans="2:20" ht="42.75" customHeight="1" x14ac:dyDescent="0.3">
      <c r="B13" s="88" t="s">
        <v>95</v>
      </c>
      <c r="C13" s="146" t="s">
        <v>96</v>
      </c>
      <c r="D13" s="108">
        <v>2</v>
      </c>
      <c r="E13" s="143" t="s">
        <v>106</v>
      </c>
      <c r="F13" s="201">
        <v>0.5</v>
      </c>
      <c r="G13" s="266"/>
      <c r="H13" s="192">
        <v>70</v>
      </c>
      <c r="I13" s="193"/>
      <c r="J13" s="267">
        <v>3</v>
      </c>
      <c r="K13" s="266"/>
      <c r="L13" s="144">
        <v>70</v>
      </c>
      <c r="M13" s="110" t="s">
        <v>42</v>
      </c>
      <c r="N13" s="102" t="s">
        <v>87</v>
      </c>
      <c r="O13" s="102"/>
      <c r="P13" s="150">
        <v>5.4</v>
      </c>
      <c r="Q13" s="170"/>
      <c r="R13" s="171"/>
      <c r="S13" s="268"/>
      <c r="T13" s="151"/>
    </row>
    <row r="14" spans="2:20" ht="42.75" customHeight="1" x14ac:dyDescent="0.3">
      <c r="B14" s="88" t="s">
        <v>64</v>
      </c>
      <c r="C14" s="130" t="s">
        <v>107</v>
      </c>
      <c r="D14" s="17">
        <v>2</v>
      </c>
      <c r="E14" s="143" t="s">
        <v>86</v>
      </c>
      <c r="F14" s="269" t="s">
        <v>67</v>
      </c>
      <c r="G14" s="270"/>
      <c r="H14" s="175" t="s">
        <v>37</v>
      </c>
      <c r="I14" s="174"/>
      <c r="J14" s="271" t="s">
        <v>68</v>
      </c>
      <c r="K14" s="272"/>
      <c r="L14" s="131" t="s">
        <v>119</v>
      </c>
      <c r="M14" s="110" t="s">
        <v>42</v>
      </c>
      <c r="N14" s="102" t="s">
        <v>87</v>
      </c>
      <c r="O14" s="157"/>
      <c r="P14" s="102">
        <v>61</v>
      </c>
      <c r="Q14" s="170" t="s">
        <v>117</v>
      </c>
      <c r="R14" s="171"/>
      <c r="S14" s="268"/>
    </row>
    <row r="15" spans="2:20" ht="42.75" customHeight="1" x14ac:dyDescent="0.3">
      <c r="B15" s="88" t="s">
        <v>65</v>
      </c>
      <c r="C15" s="130" t="s">
        <v>108</v>
      </c>
      <c r="D15" s="17">
        <v>2</v>
      </c>
      <c r="E15" s="103" t="s">
        <v>86</v>
      </c>
      <c r="F15" s="269" t="s">
        <v>69</v>
      </c>
      <c r="G15" s="270"/>
      <c r="H15" s="192">
        <v>66</v>
      </c>
      <c r="I15" s="193"/>
      <c r="J15" s="271" t="s">
        <v>71</v>
      </c>
      <c r="K15" s="272"/>
      <c r="L15" s="131" t="s">
        <v>120</v>
      </c>
      <c r="M15" s="110" t="s">
        <v>42</v>
      </c>
      <c r="N15" s="102" t="s">
        <v>87</v>
      </c>
      <c r="O15" s="157"/>
      <c r="P15" s="102">
        <v>30.5</v>
      </c>
      <c r="Q15" s="170" t="s">
        <v>117</v>
      </c>
      <c r="R15" s="171"/>
      <c r="S15" s="268"/>
    </row>
    <row r="16" spans="2:20" ht="42.75" customHeight="1" x14ac:dyDescent="0.3">
      <c r="B16" s="106" t="s">
        <v>66</v>
      </c>
      <c r="C16" s="147" t="s">
        <v>109</v>
      </c>
      <c r="D16" s="140">
        <v>2</v>
      </c>
      <c r="E16" s="120" t="s">
        <v>86</v>
      </c>
      <c r="F16" s="273" t="s">
        <v>69</v>
      </c>
      <c r="G16" s="274"/>
      <c r="H16" s="203">
        <v>66</v>
      </c>
      <c r="I16" s="204"/>
      <c r="J16" s="275" t="s">
        <v>70</v>
      </c>
      <c r="K16" s="276"/>
      <c r="L16" s="148" t="s">
        <v>121</v>
      </c>
      <c r="M16" s="111" t="s">
        <v>42</v>
      </c>
      <c r="N16" s="120" t="s">
        <v>87</v>
      </c>
      <c r="O16" s="138"/>
      <c r="P16" s="118">
        <v>140.4</v>
      </c>
      <c r="Q16" s="245" t="s">
        <v>117</v>
      </c>
      <c r="R16" s="277"/>
      <c r="S16" s="278"/>
    </row>
    <row r="17" spans="2:19" ht="15" customHeight="1" x14ac:dyDescent="0.3">
      <c r="B17" s="90" t="s">
        <v>24</v>
      </c>
      <c r="C17" s="7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78"/>
      <c r="R17" s="78"/>
      <c r="S17" s="91"/>
    </row>
    <row r="18" spans="2:19" ht="15" customHeight="1" x14ac:dyDescent="0.3">
      <c r="B18" s="98"/>
      <c r="C18" s="229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  <c r="Q18" s="81"/>
      <c r="R18" s="82"/>
      <c r="S18" s="99"/>
    </row>
    <row r="19" spans="2:19" x14ac:dyDescent="0.3">
      <c r="B19" s="98"/>
      <c r="C19" s="1"/>
      <c r="D19" s="2"/>
      <c r="E19" s="2"/>
      <c r="F19" s="2"/>
      <c r="G19" s="1"/>
      <c r="H19" s="1"/>
      <c r="I19" s="4"/>
      <c r="J19" s="1"/>
      <c r="K19" s="1"/>
      <c r="L19" s="1"/>
      <c r="M19" s="1"/>
      <c r="N19" s="1"/>
      <c r="O19" s="1"/>
      <c r="P19" s="2"/>
      <c r="Q19" s="3"/>
      <c r="R19" s="3"/>
      <c r="S19" s="96"/>
    </row>
    <row r="20" spans="2:19" x14ac:dyDescent="0.3">
      <c r="B20" s="19"/>
      <c r="D20" s="6"/>
      <c r="E20" s="6"/>
      <c r="H20" s="6"/>
      <c r="N20" s="6"/>
      <c r="O20" s="6"/>
      <c r="P20" s="6"/>
      <c r="S20" s="29"/>
    </row>
    <row r="21" spans="2:19" ht="15.45" x14ac:dyDescent="0.3">
      <c r="B21" s="25" t="s">
        <v>11</v>
      </c>
      <c r="C21" s="13"/>
      <c r="D21" s="6"/>
      <c r="E21" s="6"/>
      <c r="H21" s="6"/>
      <c r="N21" s="6"/>
      <c r="O21" s="6"/>
      <c r="P21" s="6"/>
      <c r="Q21" s="11"/>
      <c r="R21" s="11"/>
      <c r="S21" s="26"/>
    </row>
    <row r="22" spans="2:19" x14ac:dyDescent="0.3">
      <c r="B22" s="27"/>
      <c r="C22" s="13"/>
      <c r="D22" s="6"/>
      <c r="E22" s="6"/>
      <c r="H22" s="6"/>
      <c r="N22" s="6"/>
      <c r="O22" s="6"/>
      <c r="P22" s="6"/>
      <c r="Q22" s="16"/>
      <c r="R22" s="12"/>
      <c r="S22" s="28"/>
    </row>
    <row r="23" spans="2:19" x14ac:dyDescent="0.3">
      <c r="B23" s="27"/>
      <c r="C23" s="13"/>
      <c r="Q23" s="16"/>
      <c r="R23" s="16"/>
      <c r="S23" s="34"/>
    </row>
    <row r="24" spans="2:19" x14ac:dyDescent="0.3">
      <c r="B24" s="27"/>
      <c r="C24" s="13"/>
      <c r="Q24" s="16"/>
      <c r="R24" s="16"/>
      <c r="S24" s="34"/>
    </row>
    <row r="25" spans="2:19" x14ac:dyDescent="0.3">
      <c r="B25" s="30"/>
      <c r="C25" s="31"/>
      <c r="D25" s="32"/>
      <c r="E25" s="32"/>
      <c r="F25" s="31"/>
      <c r="G25" s="31"/>
      <c r="H25" s="33"/>
      <c r="I25" s="31"/>
      <c r="J25" s="31"/>
      <c r="K25" s="31"/>
      <c r="L25" s="31"/>
      <c r="M25" s="31"/>
      <c r="N25" s="32"/>
      <c r="O25" s="32"/>
      <c r="P25" s="32"/>
      <c r="Q25" s="35"/>
      <c r="R25" s="35"/>
      <c r="S25" s="36"/>
    </row>
    <row r="50" ht="23.25" customHeight="1" x14ac:dyDescent="0.3"/>
  </sheetData>
  <mergeCells count="43">
    <mergeCell ref="H16:I16"/>
    <mergeCell ref="F16:G16"/>
    <mergeCell ref="J16:K16"/>
    <mergeCell ref="Q16:S16"/>
    <mergeCell ref="F15:G15"/>
    <mergeCell ref="H15:I15"/>
    <mergeCell ref="J15:K15"/>
    <mergeCell ref="Q15:S15"/>
    <mergeCell ref="Q12:S12"/>
    <mergeCell ref="H12:I12"/>
    <mergeCell ref="H11:I11"/>
    <mergeCell ref="F14:G14"/>
    <mergeCell ref="H14:I14"/>
    <mergeCell ref="J14:K14"/>
    <mergeCell ref="Q14:S14"/>
    <mergeCell ref="F13:G13"/>
    <mergeCell ref="H13:I13"/>
    <mergeCell ref="J13:K13"/>
    <mergeCell ref="Q13:S13"/>
    <mergeCell ref="C18:P18"/>
    <mergeCell ref="B2:C6"/>
    <mergeCell ref="C9:C11"/>
    <mergeCell ref="J9:K11"/>
    <mergeCell ref="D2:P5"/>
    <mergeCell ref="E9:E11"/>
    <mergeCell ref="B7:C8"/>
    <mergeCell ref="B9:B11"/>
    <mergeCell ref="P9:P11"/>
    <mergeCell ref="F10:G10"/>
    <mergeCell ref="F11:G11"/>
    <mergeCell ref="F9:I9"/>
    <mergeCell ref="F12:G12"/>
    <mergeCell ref="H10:I10"/>
    <mergeCell ref="N9:N11"/>
    <mergeCell ref="J12:K12"/>
    <mergeCell ref="D6:P6"/>
    <mergeCell ref="D9:D11"/>
    <mergeCell ref="R3:S3"/>
    <mergeCell ref="Q9:S11"/>
    <mergeCell ref="M9:M11"/>
    <mergeCell ref="L9:L11"/>
    <mergeCell ref="O9:O11"/>
    <mergeCell ref="R4:S4"/>
  </mergeCells>
  <phoneticPr fontId="2" type="noConversion"/>
  <printOptions horizontalCentered="1"/>
  <pageMargins left="0" right="0" top="0.78740157480314965" bottom="0.19685039370078741" header="0.78740157480314965" footer="0"/>
  <pageSetup paperSize="9" scale="3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5"/>
  <dimension ref="A1:T67"/>
  <sheetViews>
    <sheetView view="pageBreakPreview" topLeftCell="C1" zoomScale="50" zoomScaleNormal="50" zoomScaleSheetLayoutView="50" workbookViewId="0">
      <selection activeCell="E17" sqref="E17"/>
    </sheetView>
  </sheetViews>
  <sheetFormatPr baseColWidth="10" defaultColWidth="11.4609375" defaultRowHeight="15" x14ac:dyDescent="0.3"/>
  <cols>
    <col min="1" max="1" width="4.53515625" style="1" customWidth="1"/>
    <col min="2" max="2" width="35.4609375" style="1" customWidth="1"/>
    <col min="3" max="3" width="41" style="1" customWidth="1"/>
    <col min="4" max="4" width="10.15234375" style="2" customWidth="1"/>
    <col min="5" max="5" width="48.4609375" style="2" bestFit="1" customWidth="1"/>
    <col min="6" max="7" width="13.53515625" style="1" customWidth="1"/>
    <col min="8" max="8" width="13.53515625" style="4" customWidth="1"/>
    <col min="9" max="13" width="13.53515625" style="1" customWidth="1"/>
    <col min="14" max="14" width="21" style="2" customWidth="1"/>
    <col min="15" max="15" width="28.53515625" style="2" customWidth="1"/>
    <col min="16" max="16" width="19" style="3" customWidth="1"/>
    <col min="17" max="17" width="36.84375" style="3" customWidth="1"/>
    <col min="18" max="18" width="18.4609375" style="1" customWidth="1"/>
    <col min="19" max="16384" width="11.4609375" style="1"/>
  </cols>
  <sheetData>
    <row r="1" spans="1:19" x14ac:dyDescent="0.3">
      <c r="B1" s="6"/>
      <c r="C1" s="6"/>
      <c r="D1" s="5"/>
      <c r="E1" s="5"/>
      <c r="F1" s="6"/>
      <c r="G1" s="6"/>
      <c r="H1" s="7"/>
      <c r="I1" s="6"/>
      <c r="J1" s="6"/>
      <c r="K1" s="6"/>
      <c r="L1" s="6"/>
      <c r="M1" s="6"/>
      <c r="N1" s="5"/>
      <c r="O1" s="5"/>
      <c r="P1" s="8"/>
      <c r="Q1" s="8"/>
      <c r="R1" s="31"/>
      <c r="S1" s="6"/>
    </row>
    <row r="2" spans="1:19" s="6" customFormat="1" ht="18" customHeight="1" x14ac:dyDescent="0.3">
      <c r="B2" s="294"/>
      <c r="C2" s="295"/>
      <c r="D2" s="305" t="str">
        <f>VESSELS_SRF!D2</f>
        <v>Mon CHEMICAL PLANT</v>
      </c>
      <c r="E2" s="306"/>
      <c r="F2" s="306"/>
      <c r="G2" s="306"/>
      <c r="H2" s="306"/>
      <c r="I2" s="306"/>
      <c r="J2" s="306"/>
      <c r="K2" s="306"/>
      <c r="L2" s="306"/>
      <c r="M2" s="306"/>
      <c r="N2" s="306"/>
      <c r="O2" s="309"/>
      <c r="P2" s="21" t="s">
        <v>18</v>
      </c>
      <c r="Q2" s="38" t="str">
        <f>VESSELS_SRF!R2</f>
        <v>MY_ONE</v>
      </c>
      <c r="R2" s="22"/>
    </row>
    <row r="3" spans="1:19" s="6" customFormat="1" ht="18" customHeight="1" x14ac:dyDescent="0.3">
      <c r="B3" s="175"/>
      <c r="C3" s="174"/>
      <c r="D3" s="307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10"/>
      <c r="P3" s="9" t="s">
        <v>21</v>
      </c>
      <c r="Q3" s="316" t="str">
        <f>VESSELS_SRF!R3</f>
        <v>Client 1</v>
      </c>
      <c r="R3" s="317"/>
    </row>
    <row r="4" spans="1:19" s="6" customFormat="1" ht="18" customHeight="1" x14ac:dyDescent="0.3">
      <c r="B4" s="175"/>
      <c r="C4" s="174"/>
      <c r="D4" s="307"/>
      <c r="E4" s="308"/>
      <c r="F4" s="308"/>
      <c r="G4" s="308"/>
      <c r="H4" s="308"/>
      <c r="I4" s="308"/>
      <c r="J4" s="308"/>
      <c r="K4" s="308"/>
      <c r="L4" s="308"/>
      <c r="M4" s="308"/>
      <c r="N4" s="308"/>
      <c r="O4" s="310"/>
      <c r="P4" s="9" t="s">
        <v>20</v>
      </c>
      <c r="Q4" s="58" t="str">
        <f>VESSELS_SRF!R4</f>
        <v>TECH</v>
      </c>
      <c r="R4" s="23"/>
    </row>
    <row r="5" spans="1:19" s="6" customFormat="1" ht="18" customHeight="1" x14ac:dyDescent="0.3">
      <c r="B5" s="175"/>
      <c r="C5" s="174"/>
      <c r="D5" s="307"/>
      <c r="E5" s="308"/>
      <c r="F5" s="308"/>
      <c r="G5" s="308"/>
      <c r="H5" s="308"/>
      <c r="I5" s="308"/>
      <c r="J5" s="308"/>
      <c r="K5" s="308"/>
      <c r="L5" s="308"/>
      <c r="M5" s="308"/>
      <c r="N5" s="308"/>
      <c r="O5" s="310"/>
      <c r="P5" s="9" t="s">
        <v>14</v>
      </c>
      <c r="Q5" s="58" t="str">
        <f>VESSELS_SRF!R5</f>
        <v>U_A</v>
      </c>
      <c r="R5" s="23"/>
    </row>
    <row r="6" spans="1:19" s="6" customFormat="1" ht="18" customHeight="1" x14ac:dyDescent="0.3">
      <c r="B6" s="227"/>
      <c r="C6" s="228"/>
      <c r="D6" s="302" t="str">
        <f>VESSELS_SRF!D6</f>
        <v>EQUIPMENT LIST FOR NEW PACKAGE</v>
      </c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4"/>
      <c r="P6" s="10" t="s">
        <v>19</v>
      </c>
      <c r="Q6" s="37" t="s">
        <v>49</v>
      </c>
      <c r="R6" s="24"/>
    </row>
    <row r="7" spans="1:19" ht="18" customHeight="1" x14ac:dyDescent="0.3">
      <c r="B7" s="305" t="s">
        <v>17</v>
      </c>
      <c r="C7" s="306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56"/>
      <c r="S7" s="6"/>
    </row>
    <row r="8" spans="1:19" ht="18" customHeight="1" x14ac:dyDescent="0.3">
      <c r="B8" s="307"/>
      <c r="C8" s="308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57"/>
      <c r="S8" s="6"/>
    </row>
    <row r="9" spans="1:19" ht="18" customHeight="1" x14ac:dyDescent="0.3">
      <c r="B9" s="296" t="s">
        <v>3</v>
      </c>
      <c r="C9" s="299" t="s">
        <v>4</v>
      </c>
      <c r="D9" s="299" t="s">
        <v>5</v>
      </c>
      <c r="E9" s="299" t="s">
        <v>6</v>
      </c>
      <c r="F9" s="279" t="s">
        <v>0</v>
      </c>
      <c r="G9" s="280"/>
      <c r="H9" s="280"/>
      <c r="I9" s="281"/>
      <c r="J9" s="279" t="s">
        <v>1</v>
      </c>
      <c r="K9" s="280"/>
      <c r="L9" s="280"/>
      <c r="M9" s="281"/>
      <c r="N9" s="313" t="s">
        <v>84</v>
      </c>
      <c r="O9" s="313" t="s">
        <v>29</v>
      </c>
      <c r="P9" s="318" t="s">
        <v>2</v>
      </c>
      <c r="Q9" s="319"/>
      <c r="R9" s="320"/>
      <c r="S9" s="6"/>
    </row>
    <row r="10" spans="1:19" ht="18" customHeight="1" x14ac:dyDescent="0.3">
      <c r="B10" s="297"/>
      <c r="C10" s="300"/>
      <c r="D10" s="300"/>
      <c r="E10" s="300"/>
      <c r="F10" s="294" t="s">
        <v>30</v>
      </c>
      <c r="G10" s="295"/>
      <c r="H10" s="294" t="s">
        <v>28</v>
      </c>
      <c r="I10" s="295"/>
      <c r="J10" s="294" t="s">
        <v>30</v>
      </c>
      <c r="K10" s="295"/>
      <c r="L10" s="294" t="s">
        <v>28</v>
      </c>
      <c r="M10" s="295"/>
      <c r="N10" s="300"/>
      <c r="O10" s="314"/>
      <c r="P10" s="321"/>
      <c r="Q10" s="322"/>
      <c r="R10" s="323"/>
      <c r="S10" s="6"/>
    </row>
    <row r="11" spans="1:19" ht="18" customHeight="1" x14ac:dyDescent="0.3">
      <c r="B11" s="298"/>
      <c r="C11" s="301"/>
      <c r="D11" s="301"/>
      <c r="E11" s="301"/>
      <c r="F11" s="311" t="s">
        <v>51</v>
      </c>
      <c r="G11" s="312"/>
      <c r="H11" s="311" t="s">
        <v>7</v>
      </c>
      <c r="I11" s="312"/>
      <c r="J11" s="311" t="s">
        <v>51</v>
      </c>
      <c r="K11" s="312"/>
      <c r="L11" s="311" t="s">
        <v>7</v>
      </c>
      <c r="M11" s="312"/>
      <c r="N11" s="301"/>
      <c r="O11" s="315"/>
      <c r="P11" s="324"/>
      <c r="Q11" s="325"/>
      <c r="R11" s="326"/>
      <c r="S11" s="6"/>
    </row>
    <row r="12" spans="1:19" ht="54" customHeight="1" x14ac:dyDescent="0.3">
      <c r="B12" s="59" t="s">
        <v>114</v>
      </c>
      <c r="C12" s="88" t="s">
        <v>115</v>
      </c>
      <c r="D12" s="100">
        <v>1</v>
      </c>
      <c r="E12" s="103" t="s">
        <v>93</v>
      </c>
      <c r="F12" s="287" t="s">
        <v>122</v>
      </c>
      <c r="G12" s="288"/>
      <c r="H12" s="226" t="s">
        <v>105</v>
      </c>
      <c r="I12" s="288"/>
      <c r="J12" s="282">
        <v>1</v>
      </c>
      <c r="K12" s="288">
        <v>170</v>
      </c>
      <c r="L12" s="282">
        <v>150</v>
      </c>
      <c r="M12" s="288">
        <v>170</v>
      </c>
      <c r="N12" s="158"/>
      <c r="O12" s="102"/>
      <c r="P12" s="170" t="s">
        <v>100</v>
      </c>
      <c r="Q12" s="285"/>
      <c r="R12" s="286"/>
      <c r="S12" s="55"/>
    </row>
    <row r="13" spans="1:19" ht="61.5" customHeight="1" x14ac:dyDescent="0.35">
      <c r="A13" s="53"/>
      <c r="B13" s="59" t="s">
        <v>75</v>
      </c>
      <c r="C13" s="88" t="s">
        <v>56</v>
      </c>
      <c r="D13" s="100">
        <v>1</v>
      </c>
      <c r="E13" s="103"/>
      <c r="F13" s="267"/>
      <c r="G13" s="266"/>
      <c r="H13" s="176"/>
      <c r="I13" s="193"/>
      <c r="J13" s="282"/>
      <c r="K13" s="288"/>
      <c r="L13" s="282"/>
      <c r="M13" s="288"/>
      <c r="O13" s="102"/>
      <c r="P13" s="170"/>
      <c r="Q13" s="171"/>
      <c r="R13" s="172"/>
      <c r="S13" s="55"/>
    </row>
    <row r="14" spans="1:19" ht="61.5" customHeight="1" x14ac:dyDescent="0.35">
      <c r="A14" s="53"/>
      <c r="B14" s="59"/>
      <c r="C14" s="88" t="s">
        <v>94</v>
      </c>
      <c r="D14" s="100">
        <v>1</v>
      </c>
      <c r="E14" s="103" t="s">
        <v>83</v>
      </c>
      <c r="F14" s="267" t="s">
        <v>76</v>
      </c>
      <c r="G14" s="266"/>
      <c r="H14" s="176" t="s">
        <v>98</v>
      </c>
      <c r="I14" s="193"/>
      <c r="J14" s="259">
        <v>0.2</v>
      </c>
      <c r="K14" s="327"/>
      <c r="L14" s="282">
        <v>350</v>
      </c>
      <c r="M14" s="288"/>
      <c r="N14" s="158"/>
      <c r="O14" s="102"/>
      <c r="P14" s="170"/>
      <c r="Q14" s="171"/>
      <c r="R14" s="172"/>
      <c r="S14" s="55"/>
    </row>
    <row r="15" spans="1:19" ht="61.5" customHeight="1" x14ac:dyDescent="0.35">
      <c r="A15" s="53"/>
      <c r="B15" s="59"/>
      <c r="C15" s="88" t="s">
        <v>99</v>
      </c>
      <c r="D15" s="100">
        <v>1</v>
      </c>
      <c r="E15" s="103" t="s">
        <v>83</v>
      </c>
      <c r="F15" s="267" t="s">
        <v>76</v>
      </c>
      <c r="G15" s="266"/>
      <c r="H15" s="176" t="s">
        <v>110</v>
      </c>
      <c r="I15" s="193"/>
      <c r="J15" s="259">
        <v>0.2</v>
      </c>
      <c r="K15" s="327"/>
      <c r="L15" s="282">
        <v>200</v>
      </c>
      <c r="M15" s="288"/>
      <c r="N15" s="158"/>
      <c r="O15" s="102"/>
      <c r="P15" s="170" t="s">
        <v>101</v>
      </c>
      <c r="Q15" s="171"/>
      <c r="R15" s="172"/>
      <c r="S15" s="55"/>
    </row>
    <row r="16" spans="1:19" ht="52.5" customHeight="1" x14ac:dyDescent="0.35">
      <c r="A16" s="53"/>
      <c r="B16" s="59" t="s">
        <v>78</v>
      </c>
      <c r="C16" s="88" t="s">
        <v>40</v>
      </c>
      <c r="D16" s="100">
        <v>1</v>
      </c>
      <c r="E16" s="103" t="s">
        <v>83</v>
      </c>
      <c r="F16" s="180" t="s">
        <v>77</v>
      </c>
      <c r="G16" s="288"/>
      <c r="H16" s="226">
        <v>66</v>
      </c>
      <c r="I16" s="288"/>
      <c r="J16" s="201" t="s">
        <v>37</v>
      </c>
      <c r="K16" s="327">
        <v>6</v>
      </c>
      <c r="L16" s="282">
        <v>200</v>
      </c>
      <c r="M16" s="283">
        <v>170</v>
      </c>
      <c r="N16" s="158"/>
      <c r="O16" s="102"/>
      <c r="P16" s="170" t="s">
        <v>102</v>
      </c>
      <c r="Q16" s="171"/>
      <c r="R16" s="172"/>
      <c r="S16" s="55"/>
    </row>
    <row r="17" spans="2:20" ht="54" customHeight="1" x14ac:dyDescent="0.3">
      <c r="B17" s="59" t="s">
        <v>79</v>
      </c>
      <c r="C17" s="88" t="s">
        <v>57</v>
      </c>
      <c r="D17" s="100">
        <v>1</v>
      </c>
      <c r="E17" s="156" t="s">
        <v>22</v>
      </c>
      <c r="F17" s="282" t="s">
        <v>22</v>
      </c>
      <c r="G17" s="284"/>
      <c r="H17" s="282" t="s">
        <v>22</v>
      </c>
      <c r="I17" s="284" t="s">
        <v>22</v>
      </c>
      <c r="J17" s="282" t="s">
        <v>22</v>
      </c>
      <c r="K17" s="284">
        <v>170</v>
      </c>
      <c r="L17" s="282" t="s">
        <v>22</v>
      </c>
      <c r="M17" s="284">
        <v>170</v>
      </c>
      <c r="N17" s="81"/>
      <c r="O17" s="102"/>
      <c r="P17" s="170" t="s">
        <v>125</v>
      </c>
      <c r="Q17" s="171"/>
      <c r="R17" s="172"/>
      <c r="S17" s="55"/>
    </row>
    <row r="18" spans="2:20" ht="43.5" customHeight="1" x14ac:dyDescent="0.3">
      <c r="B18" s="59" t="s">
        <v>80</v>
      </c>
      <c r="C18" s="88" t="s">
        <v>58</v>
      </c>
      <c r="D18" s="100">
        <v>1</v>
      </c>
      <c r="E18" s="103" t="s">
        <v>83</v>
      </c>
      <c r="F18" s="226" t="s">
        <v>37</v>
      </c>
      <c r="G18" s="181"/>
      <c r="H18" s="226" t="s">
        <v>104</v>
      </c>
      <c r="I18" s="288"/>
      <c r="J18" s="282" t="s">
        <v>37</v>
      </c>
      <c r="K18" s="288">
        <v>170</v>
      </c>
      <c r="L18" s="282">
        <v>80</v>
      </c>
      <c r="M18" s="288">
        <v>170</v>
      </c>
      <c r="N18" s="158"/>
      <c r="O18" s="102"/>
      <c r="P18" s="170" t="s">
        <v>126</v>
      </c>
      <c r="Q18" s="171"/>
      <c r="R18" s="172"/>
      <c r="S18" s="6"/>
      <c r="T18" s="2"/>
    </row>
    <row r="19" spans="2:20" ht="45.75" customHeight="1" x14ac:dyDescent="0.3">
      <c r="B19" s="59" t="s">
        <v>73</v>
      </c>
      <c r="C19" s="88" t="s">
        <v>59</v>
      </c>
      <c r="D19" s="100">
        <v>1</v>
      </c>
      <c r="E19" s="103" t="s">
        <v>103</v>
      </c>
      <c r="F19" s="180">
        <v>0</v>
      </c>
      <c r="G19" s="288"/>
      <c r="H19" s="226">
        <v>950</v>
      </c>
      <c r="I19" s="288"/>
      <c r="J19" s="282">
        <v>1</v>
      </c>
      <c r="K19" s="288">
        <v>170</v>
      </c>
      <c r="L19" s="282">
        <v>350</v>
      </c>
      <c r="M19" s="288">
        <v>170</v>
      </c>
      <c r="N19" s="158"/>
      <c r="O19" s="102"/>
      <c r="P19" s="170"/>
      <c r="Q19" s="285"/>
      <c r="R19" s="286"/>
      <c r="S19" s="6"/>
      <c r="T19" s="2"/>
    </row>
    <row r="20" spans="2:20" ht="43.5" customHeight="1" x14ac:dyDescent="0.3">
      <c r="B20" s="162" t="s">
        <v>81</v>
      </c>
      <c r="C20" s="152" t="s">
        <v>82</v>
      </c>
      <c r="D20" s="119">
        <v>1</v>
      </c>
      <c r="E20" s="127" t="s">
        <v>83</v>
      </c>
      <c r="F20" s="291" t="s">
        <v>37</v>
      </c>
      <c r="G20" s="292"/>
      <c r="H20" s="291" t="s">
        <v>104</v>
      </c>
      <c r="I20" s="293"/>
      <c r="J20" s="329" t="s">
        <v>37</v>
      </c>
      <c r="K20" s="293">
        <v>170</v>
      </c>
      <c r="L20" s="329">
        <v>80</v>
      </c>
      <c r="M20" s="293">
        <v>170</v>
      </c>
      <c r="N20" s="159"/>
      <c r="O20" s="118"/>
      <c r="P20" s="245" t="s">
        <v>126</v>
      </c>
      <c r="Q20" s="277"/>
      <c r="R20" s="328"/>
      <c r="S20" s="6"/>
      <c r="T20" s="2"/>
    </row>
    <row r="21" spans="2:20" ht="15" customHeight="1" x14ac:dyDescent="0.3">
      <c r="B21" s="76" t="s">
        <v>24</v>
      </c>
      <c r="C21" s="77"/>
      <c r="D21" s="1"/>
      <c r="E21" s="1"/>
      <c r="H21" s="1"/>
      <c r="N21" s="1"/>
      <c r="O21" s="1"/>
      <c r="P21" s="78"/>
      <c r="Q21" s="78"/>
      <c r="R21" s="91"/>
      <c r="S21" s="6"/>
    </row>
    <row r="22" spans="2:20" ht="15" customHeight="1" x14ac:dyDescent="0.3">
      <c r="B22" s="42"/>
      <c r="C22" s="289"/>
      <c r="D22" s="290"/>
      <c r="E22" s="290"/>
      <c r="F22" s="290"/>
      <c r="G22" s="290"/>
      <c r="H22" s="290"/>
      <c r="I22" s="290"/>
      <c r="J22" s="290"/>
      <c r="K22" s="290"/>
      <c r="L22" s="290"/>
      <c r="M22" s="290"/>
      <c r="N22" s="290"/>
      <c r="O22" s="290"/>
      <c r="P22" s="16"/>
      <c r="Q22" s="12"/>
      <c r="R22" s="17"/>
      <c r="S22" s="6"/>
    </row>
    <row r="23" spans="2:20" ht="15" customHeight="1" x14ac:dyDescent="0.3">
      <c r="B23" s="42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8"/>
      <c r="Q23" s="8"/>
      <c r="R23" s="29"/>
      <c r="S23" s="6"/>
    </row>
    <row r="24" spans="2:20" ht="15" customHeight="1" x14ac:dyDescent="0.3">
      <c r="B24" s="39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8"/>
      <c r="Q24" s="8"/>
      <c r="R24" s="29"/>
      <c r="S24" s="6"/>
    </row>
    <row r="25" spans="2:20" ht="15" customHeight="1" x14ac:dyDescent="0.3">
      <c r="B25" s="25" t="s">
        <v>11</v>
      </c>
      <c r="C25" s="6"/>
      <c r="D25" s="5"/>
      <c r="E25" s="5"/>
      <c r="F25" s="6"/>
      <c r="G25" s="6"/>
      <c r="H25" s="7"/>
      <c r="I25" s="6"/>
      <c r="J25" s="6"/>
      <c r="K25" s="6"/>
      <c r="L25" s="6"/>
      <c r="M25" s="6"/>
      <c r="N25" s="5"/>
      <c r="O25" s="5"/>
      <c r="P25" s="11"/>
      <c r="Q25" s="11"/>
      <c r="R25" s="26"/>
      <c r="S25" s="6"/>
    </row>
    <row r="26" spans="2:20" ht="15" customHeight="1" x14ac:dyDescent="0.3">
      <c r="B26" s="42"/>
      <c r="C26" s="109"/>
      <c r="F26" s="6"/>
      <c r="G26" s="6"/>
      <c r="H26" s="7"/>
      <c r="I26" s="6"/>
      <c r="J26" s="6"/>
      <c r="K26" s="6"/>
      <c r="L26" s="6"/>
      <c r="M26" s="6"/>
      <c r="N26" s="5"/>
      <c r="O26" s="5"/>
      <c r="P26" s="16"/>
      <c r="Q26" s="12"/>
      <c r="R26" s="17"/>
      <c r="S26" s="6"/>
    </row>
    <row r="27" spans="2:20" ht="15" customHeight="1" x14ac:dyDescent="0.3">
      <c r="B27" s="42"/>
      <c r="C27" s="13"/>
      <c r="D27" s="5"/>
      <c r="E27" s="5"/>
      <c r="F27" s="6"/>
      <c r="G27" s="6"/>
      <c r="H27" s="7"/>
      <c r="I27" s="6"/>
      <c r="J27" s="6"/>
      <c r="K27" s="6"/>
      <c r="L27" s="6"/>
      <c r="M27" s="6"/>
      <c r="N27" s="5"/>
      <c r="O27" s="5"/>
      <c r="P27" s="16"/>
      <c r="Q27" s="16"/>
      <c r="R27" s="17"/>
      <c r="S27" s="6"/>
    </row>
    <row r="28" spans="2:20" ht="15" customHeight="1" x14ac:dyDescent="0.3">
      <c r="B28" s="42"/>
      <c r="C28" s="13"/>
      <c r="D28" s="5"/>
      <c r="E28" s="5"/>
      <c r="F28" s="6"/>
      <c r="G28" s="6"/>
      <c r="H28" s="7"/>
      <c r="I28" s="6"/>
      <c r="J28" s="6"/>
      <c r="K28" s="6"/>
      <c r="L28" s="6"/>
      <c r="M28" s="6"/>
      <c r="N28" s="5"/>
      <c r="O28" s="5"/>
      <c r="P28" s="16"/>
      <c r="Q28" s="16"/>
      <c r="R28" s="17"/>
      <c r="S28" s="6"/>
    </row>
    <row r="29" spans="2:20" ht="15" customHeight="1" x14ac:dyDescent="0.3">
      <c r="B29" s="46"/>
      <c r="C29" s="47"/>
      <c r="D29" s="48"/>
      <c r="E29" s="48"/>
      <c r="F29" s="47"/>
      <c r="G29" s="47"/>
      <c r="H29" s="49"/>
      <c r="I29" s="47"/>
      <c r="J29" s="47"/>
      <c r="K29" s="47"/>
      <c r="L29" s="47"/>
      <c r="M29" s="47"/>
      <c r="N29" s="48"/>
      <c r="O29" s="48"/>
      <c r="P29" s="50"/>
      <c r="Q29" s="50"/>
      <c r="R29" s="54"/>
      <c r="S29" s="6"/>
    </row>
    <row r="30" spans="2:20" x14ac:dyDescent="0.3">
      <c r="B30" s="6"/>
      <c r="C30" s="6"/>
      <c r="D30" s="5"/>
      <c r="E30" s="5"/>
      <c r="F30" s="6"/>
      <c r="G30" s="6"/>
      <c r="H30" s="7"/>
      <c r="I30" s="6"/>
      <c r="J30" s="6"/>
      <c r="K30" s="6"/>
      <c r="L30" s="6"/>
      <c r="M30" s="6"/>
      <c r="N30" s="5"/>
      <c r="O30" s="5"/>
      <c r="P30" s="8"/>
      <c r="Q30" s="8"/>
      <c r="R30" s="6"/>
      <c r="S30" s="6"/>
    </row>
    <row r="31" spans="2:20" x14ac:dyDescent="0.3">
      <c r="B31" s="6"/>
      <c r="C31" s="6"/>
      <c r="D31" s="5"/>
      <c r="E31" s="5"/>
      <c r="F31" s="6"/>
      <c r="G31" s="6"/>
      <c r="H31" s="7"/>
      <c r="I31" s="6"/>
      <c r="J31" s="6"/>
      <c r="K31" s="6"/>
      <c r="L31" s="6"/>
      <c r="M31" s="6"/>
      <c r="N31" s="5"/>
      <c r="O31" s="5"/>
      <c r="P31" s="8"/>
      <c r="Q31" s="8"/>
      <c r="R31" s="6"/>
      <c r="S31" s="6"/>
    </row>
    <row r="32" spans="2:20" x14ac:dyDescent="0.3">
      <c r="B32" s="6"/>
      <c r="C32" s="6"/>
      <c r="D32" s="5"/>
      <c r="E32" s="5"/>
      <c r="F32" s="6"/>
      <c r="G32" s="6"/>
      <c r="H32" s="7"/>
      <c r="I32" s="6"/>
      <c r="J32" s="6"/>
      <c r="K32" s="6"/>
      <c r="L32" s="6"/>
      <c r="M32" s="6"/>
      <c r="N32" s="5"/>
      <c r="O32" s="5"/>
      <c r="P32" s="8"/>
      <c r="Q32" s="8"/>
      <c r="R32" s="6"/>
      <c r="S32" s="6"/>
    </row>
    <row r="33" spans="2:19" x14ac:dyDescent="0.3">
      <c r="B33" s="6"/>
      <c r="C33" s="6"/>
      <c r="D33" s="5"/>
      <c r="E33" s="5"/>
      <c r="F33" s="6"/>
      <c r="G33" s="6"/>
      <c r="H33" s="7"/>
      <c r="I33" s="6"/>
      <c r="J33" s="6"/>
      <c r="K33" s="6"/>
      <c r="L33" s="6"/>
      <c r="M33" s="6"/>
      <c r="N33" s="5"/>
      <c r="O33" s="5"/>
      <c r="P33" s="8"/>
      <c r="Q33" s="8"/>
      <c r="R33" s="6"/>
      <c r="S33" s="6"/>
    </row>
    <row r="34" spans="2:19" x14ac:dyDescent="0.3">
      <c r="B34" s="6"/>
      <c r="C34" s="6"/>
      <c r="D34" s="5"/>
      <c r="E34" s="5"/>
      <c r="F34" s="6"/>
      <c r="G34" s="6"/>
      <c r="H34" s="7"/>
      <c r="I34" s="6"/>
      <c r="J34" s="6"/>
      <c r="K34" s="6"/>
      <c r="L34" s="6"/>
      <c r="M34" s="6"/>
      <c r="N34" s="5"/>
      <c r="O34" s="5"/>
      <c r="P34" s="8"/>
      <c r="Q34" s="8"/>
      <c r="R34" s="6"/>
      <c r="S34" s="6"/>
    </row>
    <row r="35" spans="2:19" x14ac:dyDescent="0.3">
      <c r="B35" s="6"/>
      <c r="C35" s="6"/>
      <c r="D35" s="5"/>
      <c r="E35" s="5"/>
      <c r="F35" s="6"/>
      <c r="G35" s="6"/>
      <c r="H35" s="7"/>
      <c r="I35" s="6"/>
      <c r="J35" s="6"/>
      <c r="K35" s="6"/>
      <c r="L35" s="6"/>
      <c r="M35" s="6"/>
      <c r="N35" s="5"/>
      <c r="O35" s="5"/>
      <c r="P35" s="8"/>
      <c r="Q35" s="8"/>
      <c r="R35" s="6"/>
      <c r="S35" s="6"/>
    </row>
    <row r="36" spans="2:19" x14ac:dyDescent="0.3">
      <c r="B36" s="6"/>
      <c r="C36" s="6"/>
      <c r="D36" s="5"/>
      <c r="E36" s="5"/>
      <c r="F36" s="6"/>
      <c r="G36" s="6"/>
      <c r="H36" s="7"/>
      <c r="I36" s="6"/>
      <c r="J36" s="6"/>
      <c r="K36" s="6"/>
      <c r="L36" s="6"/>
      <c r="M36" s="6"/>
      <c r="N36" s="5"/>
      <c r="O36" s="5"/>
      <c r="P36" s="8"/>
      <c r="Q36" s="8"/>
      <c r="R36" s="6"/>
      <c r="S36" s="6"/>
    </row>
    <row r="37" spans="2:19" x14ac:dyDescent="0.3">
      <c r="B37" s="6"/>
      <c r="C37" s="6"/>
      <c r="D37" s="5"/>
      <c r="E37" s="5"/>
      <c r="F37" s="6"/>
      <c r="G37" s="6"/>
      <c r="H37" s="7"/>
      <c r="I37" s="6"/>
      <c r="J37" s="6"/>
      <c r="K37" s="6"/>
      <c r="L37" s="6"/>
      <c r="M37" s="6"/>
      <c r="N37" s="5"/>
      <c r="O37" s="5"/>
      <c r="P37" s="8"/>
      <c r="Q37" s="8"/>
      <c r="R37" s="6"/>
      <c r="S37" s="6"/>
    </row>
    <row r="38" spans="2:19" x14ac:dyDescent="0.3">
      <c r="B38" s="6"/>
      <c r="C38" s="6"/>
      <c r="D38" s="5"/>
      <c r="E38" s="5"/>
      <c r="F38" s="6"/>
      <c r="G38" s="6"/>
      <c r="H38" s="7"/>
      <c r="I38" s="6"/>
      <c r="J38" s="6"/>
      <c r="K38" s="6"/>
      <c r="L38" s="6"/>
      <c r="M38" s="6"/>
      <c r="N38" s="5"/>
      <c r="O38" s="5"/>
      <c r="P38" s="8"/>
      <c r="Q38" s="8"/>
      <c r="R38" s="6"/>
      <c r="S38" s="6"/>
    </row>
    <row r="39" spans="2:19" x14ac:dyDescent="0.3">
      <c r="B39" s="6"/>
      <c r="C39" s="6"/>
      <c r="D39" s="5"/>
      <c r="E39" s="5"/>
      <c r="F39" s="6"/>
      <c r="G39" s="6"/>
      <c r="H39" s="7"/>
      <c r="I39" s="6"/>
      <c r="J39" s="6"/>
      <c r="K39" s="6"/>
      <c r="L39" s="6"/>
      <c r="M39" s="6"/>
      <c r="N39" s="5"/>
      <c r="O39" s="5"/>
      <c r="P39" s="8"/>
      <c r="Q39" s="8"/>
      <c r="R39" s="6"/>
      <c r="S39" s="6"/>
    </row>
    <row r="40" spans="2:19" x14ac:dyDescent="0.3">
      <c r="B40" s="6"/>
      <c r="C40" s="6"/>
      <c r="D40" s="5"/>
      <c r="E40" s="5"/>
      <c r="F40" s="6"/>
      <c r="G40" s="6"/>
      <c r="H40" s="7"/>
      <c r="I40" s="6"/>
      <c r="J40" s="6"/>
      <c r="K40" s="6"/>
      <c r="L40" s="6"/>
      <c r="M40" s="6"/>
      <c r="N40" s="5"/>
      <c r="O40" s="5"/>
      <c r="P40" s="8"/>
      <c r="Q40" s="8"/>
      <c r="R40" s="6"/>
      <c r="S40" s="6"/>
    </row>
    <row r="41" spans="2:19" x14ac:dyDescent="0.3">
      <c r="B41" s="6"/>
      <c r="C41" s="6"/>
      <c r="D41" s="5"/>
      <c r="E41" s="5"/>
      <c r="F41" s="6"/>
      <c r="G41" s="6"/>
      <c r="H41" s="7"/>
      <c r="I41" s="6"/>
      <c r="J41" s="6"/>
      <c r="K41" s="6"/>
      <c r="L41" s="6"/>
      <c r="M41" s="6"/>
      <c r="N41" s="5"/>
      <c r="O41" s="5"/>
      <c r="P41" s="8"/>
      <c r="Q41" s="8"/>
      <c r="R41" s="6"/>
      <c r="S41" s="6"/>
    </row>
    <row r="42" spans="2:19" x14ac:dyDescent="0.3">
      <c r="B42" s="6"/>
      <c r="C42" s="6"/>
      <c r="D42" s="5"/>
      <c r="E42" s="5"/>
      <c r="F42" s="6"/>
      <c r="G42" s="6"/>
      <c r="H42" s="7"/>
      <c r="I42" s="6"/>
      <c r="J42" s="6"/>
      <c r="K42" s="6"/>
      <c r="L42" s="6"/>
      <c r="M42" s="6"/>
      <c r="N42" s="5"/>
      <c r="O42" s="5"/>
      <c r="P42" s="8"/>
      <c r="Q42" s="8"/>
      <c r="R42" s="6"/>
      <c r="S42" s="6"/>
    </row>
    <row r="43" spans="2:19" x14ac:dyDescent="0.3">
      <c r="B43" s="6"/>
      <c r="C43" s="6"/>
      <c r="D43" s="5"/>
      <c r="E43" s="5"/>
      <c r="F43" s="6"/>
      <c r="G43" s="6"/>
      <c r="H43" s="7"/>
      <c r="I43" s="6"/>
      <c r="J43" s="6"/>
      <c r="K43" s="6"/>
      <c r="L43" s="6"/>
      <c r="M43" s="6"/>
      <c r="N43" s="5"/>
      <c r="O43" s="5"/>
      <c r="P43" s="8"/>
      <c r="Q43" s="8"/>
      <c r="R43" s="6"/>
      <c r="S43" s="6"/>
    </row>
    <row r="44" spans="2:19" x14ac:dyDescent="0.3">
      <c r="B44" s="6"/>
      <c r="C44" s="6"/>
      <c r="D44" s="5"/>
      <c r="E44" s="5"/>
      <c r="F44" s="6"/>
      <c r="G44" s="6"/>
      <c r="H44" s="7"/>
      <c r="I44" s="6"/>
      <c r="J44" s="6"/>
      <c r="K44" s="6"/>
      <c r="L44" s="6"/>
      <c r="M44" s="6"/>
      <c r="N44" s="5"/>
      <c r="O44" s="5"/>
      <c r="P44" s="8"/>
      <c r="Q44" s="8"/>
      <c r="R44" s="6"/>
      <c r="S44" s="6"/>
    </row>
    <row r="45" spans="2:19" x14ac:dyDescent="0.3">
      <c r="B45" s="6"/>
      <c r="C45" s="6"/>
      <c r="D45" s="5"/>
      <c r="E45" s="5"/>
      <c r="F45" s="6"/>
      <c r="G45" s="6"/>
      <c r="H45" s="7"/>
      <c r="I45" s="6"/>
      <c r="J45" s="6"/>
      <c r="K45" s="6"/>
      <c r="L45" s="6"/>
      <c r="M45" s="6"/>
      <c r="N45" s="5"/>
      <c r="O45" s="5"/>
      <c r="P45" s="8"/>
      <c r="Q45" s="8"/>
      <c r="R45" s="6"/>
      <c r="S45" s="6"/>
    </row>
    <row r="46" spans="2:19" x14ac:dyDescent="0.3">
      <c r="B46" s="6"/>
      <c r="C46" s="6"/>
      <c r="D46" s="5"/>
      <c r="E46" s="5"/>
      <c r="F46" s="6"/>
      <c r="G46" s="6"/>
      <c r="H46" s="7"/>
      <c r="I46" s="6"/>
      <c r="J46" s="6"/>
      <c r="K46" s="6"/>
      <c r="L46" s="6"/>
      <c r="M46" s="6"/>
      <c r="N46" s="5"/>
      <c r="O46" s="5"/>
      <c r="P46" s="8"/>
      <c r="Q46" s="8"/>
      <c r="R46" s="6"/>
      <c r="S46" s="6"/>
    </row>
    <row r="47" spans="2:19" x14ac:dyDescent="0.3">
      <c r="B47" s="6"/>
      <c r="C47" s="6"/>
      <c r="D47" s="5"/>
      <c r="E47" s="5"/>
      <c r="F47" s="6"/>
      <c r="G47" s="6"/>
      <c r="H47" s="7"/>
      <c r="I47" s="6"/>
      <c r="J47" s="6"/>
      <c r="K47" s="6"/>
      <c r="L47" s="6"/>
      <c r="M47" s="6"/>
      <c r="N47" s="5"/>
      <c r="O47" s="5"/>
      <c r="P47" s="8"/>
      <c r="Q47" s="8"/>
      <c r="R47" s="6"/>
      <c r="S47" s="6"/>
    </row>
    <row r="48" spans="2:19" x14ac:dyDescent="0.3">
      <c r="B48" s="6"/>
      <c r="C48" s="6"/>
      <c r="D48" s="5"/>
      <c r="E48" s="5"/>
      <c r="F48" s="6"/>
      <c r="G48" s="6"/>
      <c r="H48" s="7"/>
      <c r="I48" s="6"/>
      <c r="J48" s="6"/>
      <c r="K48" s="6"/>
      <c r="L48" s="6"/>
      <c r="M48" s="6"/>
      <c r="N48" s="5"/>
      <c r="O48" s="5"/>
      <c r="P48" s="8"/>
      <c r="Q48" s="8"/>
      <c r="R48" s="6"/>
      <c r="S48" s="6"/>
    </row>
    <row r="49" spans="2:19" x14ac:dyDescent="0.3">
      <c r="B49" s="6"/>
      <c r="C49" s="6"/>
      <c r="D49" s="5"/>
      <c r="E49" s="5"/>
      <c r="F49" s="6"/>
      <c r="G49" s="6"/>
      <c r="H49" s="7"/>
      <c r="I49" s="6"/>
      <c r="J49" s="6"/>
      <c r="K49" s="6"/>
      <c r="L49" s="6"/>
      <c r="M49" s="6"/>
      <c r="N49" s="5"/>
      <c r="O49" s="5"/>
      <c r="P49" s="8"/>
      <c r="Q49" s="8"/>
      <c r="R49" s="6"/>
      <c r="S49" s="6"/>
    </row>
    <row r="50" spans="2:19" x14ac:dyDescent="0.3">
      <c r="B50" s="6"/>
      <c r="C50" s="6"/>
      <c r="D50" s="5"/>
      <c r="E50" s="5"/>
      <c r="F50" s="6"/>
      <c r="G50" s="6"/>
      <c r="H50" s="7"/>
      <c r="I50" s="6"/>
      <c r="J50" s="6"/>
      <c r="K50" s="6"/>
      <c r="L50" s="6"/>
      <c r="M50" s="6"/>
      <c r="N50" s="5"/>
      <c r="O50" s="5"/>
      <c r="P50" s="8"/>
      <c r="Q50" s="8"/>
      <c r="R50" s="6"/>
      <c r="S50" s="6"/>
    </row>
    <row r="51" spans="2:19" x14ac:dyDescent="0.3">
      <c r="B51" s="6"/>
      <c r="C51" s="6"/>
      <c r="D51" s="5"/>
      <c r="E51" s="5"/>
      <c r="F51" s="6"/>
      <c r="G51" s="6"/>
      <c r="H51" s="7"/>
      <c r="I51" s="6"/>
      <c r="J51" s="6"/>
      <c r="K51" s="6"/>
      <c r="L51" s="6"/>
      <c r="M51" s="6"/>
      <c r="N51" s="5"/>
      <c r="O51" s="5"/>
      <c r="P51" s="8"/>
      <c r="Q51" s="8"/>
      <c r="R51" s="6"/>
      <c r="S51" s="6"/>
    </row>
    <row r="52" spans="2:19" x14ac:dyDescent="0.3">
      <c r="B52" s="6"/>
      <c r="C52" s="6"/>
      <c r="D52" s="5"/>
      <c r="E52" s="5"/>
      <c r="F52" s="6"/>
      <c r="G52" s="6"/>
      <c r="H52" s="7"/>
      <c r="I52" s="6"/>
      <c r="J52" s="6"/>
      <c r="K52" s="6"/>
      <c r="L52" s="6"/>
      <c r="M52" s="6"/>
      <c r="N52" s="5"/>
      <c r="O52" s="5"/>
      <c r="P52" s="8"/>
      <c r="Q52" s="8"/>
      <c r="R52" s="6"/>
      <c r="S52" s="6"/>
    </row>
    <row r="53" spans="2:19" x14ac:dyDescent="0.3">
      <c r="B53" s="6"/>
      <c r="C53" s="6"/>
      <c r="D53" s="5"/>
      <c r="E53" s="5"/>
      <c r="F53" s="6"/>
      <c r="G53" s="6"/>
      <c r="H53" s="7"/>
      <c r="I53" s="6"/>
      <c r="J53" s="6"/>
      <c r="K53" s="6"/>
      <c r="L53" s="6"/>
      <c r="M53" s="6"/>
      <c r="N53" s="5"/>
      <c r="O53" s="5"/>
      <c r="P53" s="8"/>
      <c r="Q53" s="8"/>
      <c r="R53" s="6"/>
      <c r="S53" s="6"/>
    </row>
    <row r="54" spans="2:19" x14ac:dyDescent="0.3">
      <c r="B54" s="6"/>
      <c r="C54" s="6"/>
      <c r="D54" s="5"/>
      <c r="E54" s="5"/>
      <c r="F54" s="6"/>
      <c r="G54" s="6"/>
      <c r="H54" s="7"/>
      <c r="I54" s="6"/>
      <c r="J54" s="6"/>
      <c r="K54" s="6"/>
      <c r="L54" s="6"/>
      <c r="M54" s="6"/>
      <c r="N54" s="5"/>
      <c r="O54" s="5"/>
      <c r="P54" s="8"/>
      <c r="Q54" s="8"/>
      <c r="R54" s="6"/>
      <c r="S54" s="6"/>
    </row>
    <row r="55" spans="2:19" x14ac:dyDescent="0.3">
      <c r="B55" s="6"/>
      <c r="C55" s="6"/>
      <c r="D55" s="5"/>
      <c r="E55" s="5"/>
      <c r="F55" s="6"/>
      <c r="G55" s="6"/>
      <c r="H55" s="7"/>
      <c r="I55" s="6"/>
      <c r="J55" s="6"/>
      <c r="K55" s="6"/>
      <c r="L55" s="6"/>
      <c r="M55" s="6"/>
      <c r="N55" s="5"/>
      <c r="O55" s="5"/>
      <c r="P55" s="8"/>
      <c r="Q55" s="8"/>
      <c r="R55" s="6"/>
      <c r="S55" s="6"/>
    </row>
    <row r="56" spans="2:19" x14ac:dyDescent="0.3">
      <c r="B56" s="6"/>
      <c r="C56" s="6"/>
      <c r="D56" s="5"/>
      <c r="E56" s="5"/>
      <c r="F56" s="6"/>
      <c r="G56" s="6"/>
      <c r="H56" s="7"/>
      <c r="I56" s="6"/>
      <c r="J56" s="6"/>
      <c r="K56" s="6"/>
      <c r="L56" s="6"/>
      <c r="M56" s="6"/>
      <c r="N56" s="5"/>
      <c r="O56" s="5"/>
      <c r="P56" s="8"/>
      <c r="Q56" s="8"/>
      <c r="R56" s="6"/>
      <c r="S56" s="6"/>
    </row>
    <row r="57" spans="2:19" ht="18.75" customHeight="1" x14ac:dyDescent="0.3">
      <c r="B57" s="6"/>
      <c r="C57" s="6"/>
      <c r="D57" s="5"/>
      <c r="E57" s="5"/>
      <c r="F57" s="6"/>
      <c r="G57" s="6"/>
      <c r="H57" s="7"/>
      <c r="I57" s="6"/>
      <c r="J57" s="6"/>
      <c r="K57" s="6"/>
      <c r="L57" s="6"/>
      <c r="M57" s="6"/>
      <c r="N57" s="5"/>
      <c r="O57" s="5"/>
      <c r="P57" s="8"/>
      <c r="Q57" s="8"/>
      <c r="R57" s="6"/>
      <c r="S57" s="6"/>
    </row>
    <row r="58" spans="2:19" x14ac:dyDescent="0.3">
      <c r="B58" s="6"/>
      <c r="C58" s="6"/>
      <c r="D58" s="5"/>
      <c r="E58" s="5"/>
      <c r="F58" s="6"/>
      <c r="G58" s="6"/>
      <c r="H58" s="7"/>
      <c r="I58" s="6"/>
      <c r="J58" s="6"/>
      <c r="K58" s="6"/>
      <c r="L58" s="6"/>
      <c r="M58" s="6"/>
      <c r="N58" s="5"/>
      <c r="O58" s="5"/>
      <c r="P58" s="8"/>
      <c r="Q58" s="8"/>
      <c r="R58" s="6"/>
      <c r="S58" s="6"/>
    </row>
    <row r="59" spans="2:19" x14ac:dyDescent="0.3">
      <c r="B59" s="6"/>
      <c r="C59" s="6"/>
      <c r="D59" s="5"/>
      <c r="E59" s="5"/>
      <c r="F59" s="6"/>
      <c r="G59" s="6"/>
      <c r="H59" s="7"/>
      <c r="I59" s="6"/>
      <c r="J59" s="6"/>
      <c r="K59" s="6"/>
      <c r="L59" s="6"/>
      <c r="M59" s="6"/>
      <c r="N59" s="5"/>
      <c r="O59" s="5"/>
      <c r="P59" s="8"/>
      <c r="Q59" s="8"/>
      <c r="R59" s="6"/>
      <c r="S59" s="6"/>
    </row>
    <row r="60" spans="2:19" x14ac:dyDescent="0.3">
      <c r="B60" s="6"/>
      <c r="C60" s="6"/>
      <c r="D60" s="5"/>
      <c r="E60" s="5"/>
      <c r="F60" s="6"/>
      <c r="G60" s="6"/>
      <c r="H60" s="7"/>
      <c r="I60" s="6"/>
      <c r="J60" s="6"/>
      <c r="K60" s="6"/>
      <c r="L60" s="6"/>
      <c r="M60" s="6"/>
      <c r="N60" s="5"/>
      <c r="O60" s="5"/>
      <c r="P60" s="8"/>
      <c r="Q60" s="8"/>
      <c r="R60" s="6"/>
      <c r="S60" s="6"/>
    </row>
    <row r="61" spans="2:19" x14ac:dyDescent="0.3">
      <c r="B61" s="6"/>
      <c r="C61" s="6"/>
      <c r="D61" s="5"/>
      <c r="E61" s="5"/>
      <c r="F61" s="6"/>
      <c r="G61" s="6"/>
      <c r="H61" s="7"/>
      <c r="I61" s="6"/>
      <c r="J61" s="6"/>
      <c r="K61" s="6"/>
      <c r="L61" s="6"/>
      <c r="M61" s="6"/>
      <c r="N61" s="5"/>
      <c r="O61" s="5"/>
      <c r="P61" s="8"/>
      <c r="Q61" s="8"/>
      <c r="R61" s="6"/>
      <c r="S61" s="6"/>
    </row>
    <row r="62" spans="2:19" x14ac:dyDescent="0.3">
      <c r="B62" s="6"/>
      <c r="C62" s="6"/>
      <c r="D62" s="5"/>
      <c r="E62" s="5"/>
      <c r="F62" s="6"/>
      <c r="G62" s="6"/>
      <c r="H62" s="7"/>
      <c r="I62" s="6"/>
      <c r="J62" s="6"/>
      <c r="K62" s="6"/>
      <c r="L62" s="6"/>
      <c r="M62" s="6"/>
      <c r="N62" s="5"/>
      <c r="O62" s="5"/>
      <c r="P62" s="8"/>
      <c r="Q62" s="8"/>
      <c r="R62" s="6"/>
      <c r="S62" s="6"/>
    </row>
    <row r="63" spans="2:19" x14ac:dyDescent="0.3">
      <c r="B63" s="6"/>
      <c r="C63" s="6"/>
      <c r="D63" s="5"/>
      <c r="E63" s="5"/>
      <c r="F63" s="6"/>
      <c r="G63" s="6"/>
      <c r="H63" s="7"/>
      <c r="I63" s="6"/>
      <c r="J63" s="6"/>
      <c r="K63" s="6"/>
      <c r="L63" s="6"/>
      <c r="M63" s="6"/>
      <c r="N63" s="5"/>
      <c r="O63" s="5"/>
      <c r="P63" s="8"/>
      <c r="Q63" s="8"/>
      <c r="R63" s="6"/>
      <c r="S63" s="6"/>
    </row>
    <row r="64" spans="2:19" x14ac:dyDescent="0.3">
      <c r="B64" s="6"/>
      <c r="C64" s="6"/>
      <c r="D64" s="5"/>
      <c r="E64" s="5"/>
      <c r="F64" s="6"/>
      <c r="G64" s="6"/>
      <c r="H64" s="7"/>
      <c r="I64" s="6"/>
      <c r="J64" s="6"/>
      <c r="K64" s="6"/>
      <c r="L64" s="6"/>
      <c r="M64" s="6"/>
      <c r="N64" s="5"/>
      <c r="O64" s="5"/>
      <c r="P64" s="8"/>
      <c r="Q64" s="8"/>
      <c r="R64" s="6"/>
      <c r="S64" s="6"/>
    </row>
    <row r="65" spans="2:19" x14ac:dyDescent="0.3">
      <c r="B65" s="6"/>
      <c r="C65" s="6"/>
      <c r="D65" s="5"/>
      <c r="E65" s="5"/>
      <c r="F65" s="6"/>
      <c r="G65" s="6"/>
      <c r="H65" s="7"/>
      <c r="I65" s="6"/>
      <c r="J65" s="6"/>
      <c r="K65" s="6"/>
      <c r="L65" s="6"/>
      <c r="M65" s="6"/>
      <c r="N65" s="5"/>
      <c r="O65" s="5"/>
      <c r="P65" s="8"/>
      <c r="Q65" s="8"/>
      <c r="R65" s="6"/>
      <c r="S65" s="6"/>
    </row>
    <row r="66" spans="2:19" x14ac:dyDescent="0.3">
      <c r="B66" s="6"/>
      <c r="C66" s="6"/>
      <c r="D66" s="5"/>
      <c r="E66" s="5"/>
      <c r="F66" s="6"/>
      <c r="G66" s="6"/>
      <c r="H66" s="7"/>
      <c r="I66" s="6"/>
      <c r="J66" s="6"/>
      <c r="K66" s="6"/>
      <c r="L66" s="6"/>
      <c r="M66" s="6"/>
      <c r="N66" s="5"/>
      <c r="O66" s="5"/>
      <c r="P66" s="8"/>
      <c r="Q66" s="8"/>
      <c r="R66" s="6"/>
      <c r="S66" s="6"/>
    </row>
    <row r="67" spans="2:19" x14ac:dyDescent="0.3">
      <c r="B67" s="6"/>
      <c r="C67" s="6"/>
      <c r="D67" s="5"/>
      <c r="E67" s="5"/>
      <c r="F67" s="6"/>
      <c r="G67" s="6"/>
      <c r="H67" s="7"/>
      <c r="I67" s="6"/>
      <c r="J67" s="6"/>
      <c r="K67" s="6"/>
      <c r="L67" s="6"/>
      <c r="M67" s="6"/>
      <c r="N67" s="5"/>
      <c r="O67" s="5"/>
      <c r="P67" s="8"/>
      <c r="Q67" s="8"/>
      <c r="R67" s="6"/>
      <c r="S67" s="6"/>
    </row>
  </sheetData>
  <mergeCells count="68">
    <mergeCell ref="F19:G19"/>
    <mergeCell ref="H19:I19"/>
    <mergeCell ref="J19:K19"/>
    <mergeCell ref="L19:M19"/>
    <mergeCell ref="P20:R20"/>
    <mergeCell ref="L20:M20"/>
    <mergeCell ref="J20:K20"/>
    <mergeCell ref="P19:R19"/>
    <mergeCell ref="P18:R18"/>
    <mergeCell ref="J14:K14"/>
    <mergeCell ref="L14:M14"/>
    <mergeCell ref="J15:K15"/>
    <mergeCell ref="L15:M15"/>
    <mergeCell ref="P16:R16"/>
    <mergeCell ref="P17:R17"/>
    <mergeCell ref="J16:K16"/>
    <mergeCell ref="P14:R14"/>
    <mergeCell ref="P15:R15"/>
    <mergeCell ref="Q3:R3"/>
    <mergeCell ref="P9:R11"/>
    <mergeCell ref="J11:K11"/>
    <mergeCell ref="J9:M9"/>
    <mergeCell ref="L11:M11"/>
    <mergeCell ref="B2:C6"/>
    <mergeCell ref="F10:G10"/>
    <mergeCell ref="B9:B11"/>
    <mergeCell ref="C9:C11"/>
    <mergeCell ref="D9:D11"/>
    <mergeCell ref="E9:E11"/>
    <mergeCell ref="D6:O6"/>
    <mergeCell ref="B7:C8"/>
    <mergeCell ref="D2:O5"/>
    <mergeCell ref="F11:G11"/>
    <mergeCell ref="L10:M10"/>
    <mergeCell ref="N9:N11"/>
    <mergeCell ref="H10:I10"/>
    <mergeCell ref="O9:O11"/>
    <mergeCell ref="J10:K10"/>
    <mergeCell ref="H11:I11"/>
    <mergeCell ref="C22:O22"/>
    <mergeCell ref="H13:I13"/>
    <mergeCell ref="L13:M13"/>
    <mergeCell ref="F13:G13"/>
    <mergeCell ref="F16:G16"/>
    <mergeCell ref="F17:G17"/>
    <mergeCell ref="F20:G20"/>
    <mergeCell ref="H20:I20"/>
    <mergeCell ref="H16:I16"/>
    <mergeCell ref="H17:I17"/>
    <mergeCell ref="F18:G18"/>
    <mergeCell ref="J17:K17"/>
    <mergeCell ref="H18:I18"/>
    <mergeCell ref="J18:K18"/>
    <mergeCell ref="L18:M18"/>
    <mergeCell ref="J13:K13"/>
    <mergeCell ref="F9:I9"/>
    <mergeCell ref="L16:M16"/>
    <mergeCell ref="L17:M17"/>
    <mergeCell ref="P12:R12"/>
    <mergeCell ref="F12:G12"/>
    <mergeCell ref="H12:I12"/>
    <mergeCell ref="P13:R13"/>
    <mergeCell ref="F14:G14"/>
    <mergeCell ref="H14:I14"/>
    <mergeCell ref="F15:G15"/>
    <mergeCell ref="H15:I15"/>
    <mergeCell ref="J12:K12"/>
    <mergeCell ref="L12:M12"/>
  </mergeCells>
  <phoneticPr fontId="2" type="noConversion"/>
  <printOptions horizontalCentered="1"/>
  <pageMargins left="0" right="0" top="0.78740157480314965" bottom="0.19685039370078741" header="0" footer="0"/>
  <pageSetup paperSize="9" scale="3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8</vt:i4>
      </vt:variant>
    </vt:vector>
  </HeadingPairs>
  <TitlesOfParts>
    <vt:vector size="12" baseType="lpstr">
      <vt:lpstr>VESSELS_SRF</vt:lpstr>
      <vt:lpstr>HEAT_SRF </vt:lpstr>
      <vt:lpstr>ROTATING</vt:lpstr>
      <vt:lpstr>DIVERS</vt:lpstr>
      <vt:lpstr>DIVERS!Impression_des_titres</vt:lpstr>
      <vt:lpstr>'HEAT_SRF '!Impression_des_titres</vt:lpstr>
      <vt:lpstr>ROTATING!Impression_des_titres</vt:lpstr>
      <vt:lpstr>VESSELS_SRF!Impression_des_titres</vt:lpstr>
      <vt:lpstr>DIVERS!Zone_d_impression</vt:lpstr>
      <vt:lpstr>'HEAT_SRF '!Zone_d_impression</vt:lpstr>
      <vt:lpstr>ROTATING!Zone_d_impression</vt:lpstr>
      <vt:lpstr>VESSELS_SRF!Zone_d_impression</vt:lpstr>
    </vt:vector>
  </TitlesOfParts>
  <Company>pn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</dc:creator>
  <cp:lastModifiedBy>Pascal Gorisse</cp:lastModifiedBy>
  <cp:lastPrinted>2021-03-02T08:38:16Z</cp:lastPrinted>
  <dcterms:created xsi:type="dcterms:W3CDTF">2004-09-06T12:51:53Z</dcterms:created>
  <dcterms:modified xsi:type="dcterms:W3CDTF">2026-02-10T18:47:38Z</dcterms:modified>
</cp:coreProperties>
</file>