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runas02\GENERAL\Modules_Budgets\20-20965 - BCC MDP AlphaB+H\LAO\"/>
    </mc:Choice>
  </mc:AlternateContent>
  <bookViews>
    <workbookView xWindow="0" yWindow="0" windowWidth="22130" windowHeight="9200"/>
  </bookViews>
  <sheets>
    <sheet name="Fiche lecture" sheetId="1" r:id="rId1"/>
    <sheet name="RFQ PRECOM" sheetId="10" r:id="rId2"/>
    <sheet name="Liste des specs +" sheetId="8" r:id="rId3"/>
    <sheet name="Feuil1" sheetId="6" r:id="rId4"/>
    <sheet name="Deviations AX" sheetId="9" r:id="rId5"/>
    <sheet name="Painting" sheetId="5" r:id="rId6"/>
    <sheet name="Codes et Std" sheetId="2" r:id="rId7"/>
    <sheet name="Russian codes" sheetId="7" r:id="rId8"/>
    <sheet name="ABBREVIATIONS AND ACRONYMS" sheetId="3" r:id="rId9"/>
    <sheet name="measurement units" sheetId="4" r:id="rId10"/>
  </sheets>
  <definedNames>
    <definedName name="_xlnm._FilterDatabase" localSheetId="6" hidden="1">'Codes et Std'!$B$4:$AC$364</definedName>
    <definedName name="_xlnm._FilterDatabase" localSheetId="4" hidden="1">'Deviations AX'!$A$1:$K$54</definedName>
    <definedName name="_xlnm._FilterDatabase" localSheetId="0" hidden="1">'Fiche lecture'!$A$13:$AN$540</definedName>
    <definedName name="_xlnm._FilterDatabase" localSheetId="2" hidden="1">'Liste des specs +'!$B$1:$D$104</definedName>
    <definedName name="_xlnm._FilterDatabase" localSheetId="7" hidden="1">'Russian codes'!$B$4:$G$95</definedName>
    <definedName name="_Toc25674434" localSheetId="0">'Fiche lecture'!$V$46</definedName>
    <definedName name="_Toc25752130" localSheetId="0">'Fiche lecture'!$V$238</definedName>
    <definedName name="_Toc27147889" localSheetId="6">'Codes et Std'!$C$255</definedName>
    <definedName name="_Toc37057675" localSheetId="6">'Codes et Std'!$C$227</definedName>
    <definedName name="_Toc37385647" localSheetId="6">'Codes et Std'!$B$389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 i="1" l="1"/>
  <c r="I9" i="1"/>
  <c r="I10" i="1" l="1"/>
  <c r="C98" i="8"/>
  <c r="C95" i="8"/>
  <c r="C75" i="8"/>
  <c r="C70" i="8"/>
  <c r="C67" i="8"/>
  <c r="C64" i="8"/>
  <c r="C51" i="8"/>
  <c r="C42" i="8"/>
  <c r="C36" i="8"/>
  <c r="C103" i="8"/>
  <c r="C101" i="8"/>
  <c r="C93" i="8"/>
  <c r="C91" i="8"/>
  <c r="C89" i="8"/>
  <c r="C87" i="8"/>
  <c r="C85" i="8"/>
  <c r="C83" i="8"/>
  <c r="C81" i="8"/>
  <c r="C79" i="8"/>
  <c r="C73" i="8"/>
  <c r="C62" i="8"/>
  <c r="C60" i="8"/>
  <c r="C54" i="8"/>
  <c r="C56" i="8"/>
  <c r="C58" i="8"/>
  <c r="C49" i="8"/>
  <c r="C47" i="8"/>
  <c r="C45" i="8"/>
  <c r="C40" i="8"/>
  <c r="C34" i="8"/>
  <c r="C32" i="8"/>
  <c r="C30" i="8"/>
  <c r="C28" i="8"/>
  <c r="C26" i="8"/>
  <c r="C24" i="8"/>
  <c r="C22" i="8"/>
  <c r="C20" i="8"/>
  <c r="C18" i="8"/>
  <c r="C16" i="8"/>
  <c r="C13" i="8"/>
  <c r="C11" i="8"/>
  <c r="C9" i="8"/>
  <c r="C7" i="8"/>
  <c r="C5" i="8"/>
  <c r="C2" i="8"/>
  <c r="T8" i="1" l="1"/>
  <c r="C63" i="5" l="1"/>
  <c r="C66" i="5"/>
  <c r="C50" i="5"/>
  <c r="T9" i="1" l="1"/>
  <c r="T10" i="1" l="1"/>
</calcChain>
</file>

<file path=xl/sharedStrings.xml><?xml version="1.0" encoding="utf-8"?>
<sst xmlns="http://schemas.openxmlformats.org/spreadsheetml/2006/main" count="8538" uniqueCount="3179">
  <si>
    <t>Les "150 premieres questions" à se poser pour le chiffrage de l'offre et le démarrage du projet</t>
  </si>
  <si>
    <t>Cette trame a pour but d'aider :</t>
  </si>
  <si>
    <t>Vides</t>
  </si>
  <si>
    <t>Complétées</t>
  </si>
  <si>
    <t>Totales</t>
  </si>
  <si>
    <t>rev</t>
  </si>
  <si>
    <t>items</t>
  </si>
  <si>
    <t>priorité</t>
  </si>
  <si>
    <t>Discipline</t>
  </si>
  <si>
    <t>Domaine</t>
  </si>
  <si>
    <t>Limites</t>
  </si>
  <si>
    <t>Exigence particuliere</t>
  </si>
  <si>
    <t>conséquence</t>
  </si>
  <si>
    <t>Lecteur (nom)</t>
  </si>
  <si>
    <t>Lien</t>
  </si>
  <si>
    <t>Titre spec</t>
  </si>
  <si>
    <t>Chapitre</t>
  </si>
  <si>
    <t>Page</t>
  </si>
  <si>
    <t xml:space="preserve"> </t>
  </si>
  <si>
    <t>Données locales</t>
  </si>
  <si>
    <t>Pays de destination</t>
  </si>
  <si>
    <t>Normes locales</t>
  </si>
  <si>
    <t>X</t>
  </si>
  <si>
    <t>ISO / BS / API, ASME etc…</t>
  </si>
  <si>
    <t>Langues</t>
  </si>
  <si>
    <t>traductions de tout ou partie de la doc</t>
  </si>
  <si>
    <t>Taille Maxi des Modules</t>
  </si>
  <si>
    <t>Max X, Y et Z</t>
  </si>
  <si>
    <t>Transportation Route Survey</t>
  </si>
  <si>
    <t>Max Weight</t>
  </si>
  <si>
    <t>Voies d'accés et moyens de levage locaux</t>
  </si>
  <si>
    <t xml:space="preserve">SPMT / Grues </t>
  </si>
  <si>
    <t xml:space="preserve">temp Max </t>
  </si>
  <si>
    <t>temp Min</t>
  </si>
  <si>
    <t>protection gel</t>
  </si>
  <si>
    <t>temp air max / Min</t>
  </si>
  <si>
    <t>Ai cooler / Elec Motors</t>
  </si>
  <si>
    <t>Vent extremes</t>
  </si>
  <si>
    <t>str et colonnes</t>
  </si>
  <si>
    <t>seisme</t>
  </si>
  <si>
    <t>Desing structure et supports</t>
  </si>
  <si>
    <t>blast</t>
  </si>
  <si>
    <t>Maritime / Saline</t>
  </si>
  <si>
    <t>Peintures et inox</t>
  </si>
  <si>
    <t>design / organismes / Validations third party</t>
  </si>
  <si>
    <t>Certification CE / NOBO</t>
  </si>
  <si>
    <t>Russification</t>
  </si>
  <si>
    <t>Autres</t>
  </si>
  <si>
    <t xml:space="preserve">Mechanical Design Life </t>
  </si>
  <si>
    <t>ingress protection degree of IP 66 or NEMA type 4X.</t>
  </si>
  <si>
    <t>Seuils bruit</t>
  </si>
  <si>
    <t>Cas particuliers</t>
  </si>
  <si>
    <t>Protection cathodique  ?</t>
  </si>
  <si>
    <t>Normalement non</t>
  </si>
  <si>
    <t>Quality (QA QC)</t>
  </si>
  <si>
    <t>ISO 9000 or More</t>
  </si>
  <si>
    <t>Quality Management System</t>
  </si>
  <si>
    <t>Quality Control</t>
  </si>
  <si>
    <t>Material Traceability &amp; Certification</t>
  </si>
  <si>
    <t>Inspection &amp; Certification Records</t>
  </si>
  <si>
    <t>Certification &amp; Manufacturing Data Requirements</t>
  </si>
  <si>
    <t>Inspection &amp; Test Plan &amp; Manufacturing Record Book</t>
  </si>
  <si>
    <t>NDE shall be performed by personnel certified in accordance with ASNT CP-189, ANSI/ASNT SNT-TC-1A or ISO 9712</t>
  </si>
  <si>
    <t>Origine matieres</t>
  </si>
  <si>
    <t>fournisseurs</t>
  </si>
  <si>
    <t>Liste agréée</t>
  </si>
  <si>
    <t>matiere premieres</t>
  </si>
  <si>
    <t>impact prix</t>
  </si>
  <si>
    <t>VDL</t>
  </si>
  <si>
    <t>sélection vendeurs</t>
  </si>
  <si>
    <t>Yard</t>
  </si>
  <si>
    <t>Chine ou pas</t>
  </si>
  <si>
    <t>Onshore / Offshore</t>
  </si>
  <si>
    <t>Process</t>
  </si>
  <si>
    <t>Type</t>
  </si>
  <si>
    <t>Temperatures max</t>
  </si>
  <si>
    <t>Overpressure</t>
  </si>
  <si>
    <t>oui / non</t>
  </si>
  <si>
    <t xml:space="preserve">PID Client </t>
  </si>
  <si>
    <t>sce salés / Avec ou sans solides</t>
  </si>
  <si>
    <t>Toxic ou non toxic</t>
  </si>
  <si>
    <t>Lethal ou pas</t>
  </si>
  <si>
    <t>Nace ou pas</t>
  </si>
  <si>
    <t>capacités</t>
  </si>
  <si>
    <t>RAM / SPARE design</t>
  </si>
  <si>
    <t>Disponibilité de l'unité</t>
  </si>
  <si>
    <t>Normale / Elevée</t>
  </si>
  <si>
    <t>Avec / Sans calculs de disponibilité</t>
  </si>
  <si>
    <t>Spare installées ou pas</t>
  </si>
  <si>
    <t>design</t>
  </si>
  <si>
    <t>soupapes</t>
  </si>
  <si>
    <t>Gros item (ex : Centrifugeuse ?</t>
  </si>
  <si>
    <t>Materiaux</t>
  </si>
  <si>
    <t>MSD …</t>
  </si>
  <si>
    <t>CS / LTCS / SS / Nobles</t>
  </si>
  <si>
    <t>Suivant piping class client ?</t>
  </si>
  <si>
    <t>Welding &amp; NDE</t>
  </si>
  <si>
    <t>WPS &amp; PQR</t>
  </si>
  <si>
    <t>Painting</t>
  </si>
  <si>
    <t>design &amp; Conditions</t>
  </si>
  <si>
    <t>For RAL colors</t>
  </si>
  <si>
    <t>Temp Max Min process</t>
  </si>
  <si>
    <t>limite epoxy ou autres</t>
  </si>
  <si>
    <t>Peinture sur inox ou pas</t>
  </si>
  <si>
    <t>Peinture sous calo ou pas</t>
  </si>
  <si>
    <t>Peinture sur galva ou pas</t>
  </si>
  <si>
    <t xml:space="preserve">Type </t>
  </si>
  <si>
    <t>TSA ?</t>
  </si>
  <si>
    <t>Insulation</t>
  </si>
  <si>
    <t>Design</t>
  </si>
  <si>
    <t>PVV + Piping + Instrum</t>
  </si>
  <si>
    <t>Température opératoire</t>
  </si>
  <si>
    <t>limite</t>
  </si>
  <si>
    <t>Rockwel ou Fiber gas</t>
  </si>
  <si>
    <t>tole de protection</t>
  </si>
  <si>
    <t>contrainte exterieures</t>
  </si>
  <si>
    <t>Inox ou Alu / Ep</t>
  </si>
  <si>
    <t>Structure</t>
  </si>
  <si>
    <t>Design &amp; Stds</t>
  </si>
  <si>
    <t>fleches admissibles</t>
  </si>
  <si>
    <t>revetement</t>
  </si>
  <si>
    <t>peinture / Galva</t>
  </si>
  <si>
    <t>type de fers / Normes</t>
  </si>
  <si>
    <t>bolting</t>
  </si>
  <si>
    <t>type et revetements</t>
  </si>
  <si>
    <t xml:space="preserve">Lifting design </t>
  </si>
  <si>
    <t>Coef 1.3 or 2 ? (load factor)</t>
  </si>
  <si>
    <t>A fournir ou pas</t>
  </si>
  <si>
    <t>Grating</t>
  </si>
  <si>
    <t>caillebotis / X/Y/Z</t>
  </si>
  <si>
    <t>Civil</t>
  </si>
  <si>
    <t>Interfaces / Design</t>
  </si>
  <si>
    <t>Pressure vessels</t>
  </si>
  <si>
    <t>Design / Requirements</t>
  </si>
  <si>
    <t>Matieres</t>
  </si>
  <si>
    <t>Extend</t>
  </si>
  <si>
    <t>PMI</t>
  </si>
  <si>
    <t>étendue des tests</t>
  </si>
  <si>
    <t>0,8 / 1</t>
  </si>
  <si>
    <t>Inspection / Third Party</t>
  </si>
  <si>
    <t>certification</t>
  </si>
  <si>
    <t>U stamp</t>
  </si>
  <si>
    <t>Stockage (protection)</t>
  </si>
  <si>
    <t>PVV en inox</t>
  </si>
  <si>
    <t>nitrogen blanketing</t>
  </si>
  <si>
    <t>PQR</t>
  </si>
  <si>
    <t>existing or new one ?</t>
  </si>
  <si>
    <t>type de boulonnerie</t>
  </si>
  <si>
    <t>Cladded or weld over-lay</t>
  </si>
  <si>
    <t>Type (Exp / Roulé / soudé /…)</t>
  </si>
  <si>
    <t>ep mini</t>
  </si>
  <si>
    <t>controles</t>
  </si>
  <si>
    <t>internes</t>
  </si>
  <si>
    <t>matieres</t>
  </si>
  <si>
    <t>fixations</t>
  </si>
  <si>
    <t>peinture / revetement</t>
  </si>
  <si>
    <t>design of internals</t>
  </si>
  <si>
    <t>structured packing or bubble cap trays</t>
  </si>
  <si>
    <t>Piquages mini en 2"</t>
  </si>
  <si>
    <t>Nozzle Loads</t>
  </si>
  <si>
    <t>Mach. Tournantes / Pompes</t>
  </si>
  <si>
    <t>marge moteur</t>
  </si>
  <si>
    <t>avec ou sans gavage</t>
  </si>
  <si>
    <t>limites d'efficiency ou pas</t>
  </si>
  <si>
    <t>limites sur max shut off ou pas</t>
  </si>
  <si>
    <t>Essais pompes et moteurs 2 ou 4h en charge ?</t>
  </si>
  <si>
    <t>Piping</t>
  </si>
  <si>
    <t>Piping design</t>
  </si>
  <si>
    <t>Layout / Design</t>
  </si>
  <si>
    <t>Plot plan available surface</t>
  </si>
  <si>
    <t>Piping 3D Model</t>
  </si>
  <si>
    <t>3D revue</t>
  </si>
  <si>
    <t>Où / 30 60 et 90% ?</t>
  </si>
  <si>
    <t>Software for 3D modeling</t>
  </si>
  <si>
    <t>ESP 3D (Smartplan 3D de Intergraph) / Bentley</t>
  </si>
  <si>
    <t>Piping class</t>
  </si>
  <si>
    <t>limites des classes std</t>
  </si>
  <si>
    <t>temp maxi</t>
  </si>
  <si>
    <t>press max</t>
  </si>
  <si>
    <t>ep corrosion</t>
  </si>
  <si>
    <t>type d'interne (vanne)</t>
  </si>
  <si>
    <t>class Ep. mini</t>
  </si>
  <si>
    <t>3mm</t>
  </si>
  <si>
    <t>Calculs Flex</t>
  </si>
  <si>
    <t>Joints</t>
  </si>
  <si>
    <t>Thermal Loads</t>
  </si>
  <si>
    <t>Supportage</t>
  </si>
  <si>
    <t>Design par client ou par Ax</t>
  </si>
  <si>
    <t>Vannes</t>
  </si>
  <si>
    <t>Type Normal ou particulier</t>
  </si>
  <si>
    <t>Trim classiques ou pas</t>
  </si>
  <si>
    <t>Niveau de contrôle</t>
  </si>
  <si>
    <t>double bloc &amp; bleed</t>
  </si>
  <si>
    <t>conditions</t>
  </si>
  <si>
    <t>Protection feu</t>
  </si>
  <si>
    <t>Test Fuites</t>
  </si>
  <si>
    <t>Dans quelles conditions</t>
  </si>
  <si>
    <t>Actionneurs</t>
  </si>
  <si>
    <t>Electrique</t>
  </si>
  <si>
    <t>Pneumatiques</t>
  </si>
  <si>
    <t>Pression mini air instrum ?</t>
  </si>
  <si>
    <t>Special Valves for salty services</t>
  </si>
  <si>
    <t>Instrum</t>
  </si>
  <si>
    <t>Capot 316L</t>
  </si>
  <si>
    <t>Tubing</t>
  </si>
  <si>
    <t>316 ou mieux</t>
  </si>
  <si>
    <t>HART protocol</t>
  </si>
  <si>
    <t xml:space="preserve"> FOUNDATION™ fieldbus (FF) technology </t>
  </si>
  <si>
    <t>Système</t>
  </si>
  <si>
    <t>SIS</t>
  </si>
  <si>
    <t>Monitoring</t>
  </si>
  <si>
    <t>Fire and Gas</t>
  </si>
  <si>
    <t>rating</t>
  </si>
  <si>
    <t>Mini 300 #</t>
  </si>
  <si>
    <t>Hook up</t>
  </si>
  <si>
    <t>stds ou luxueux ?</t>
  </si>
  <si>
    <t>Cable trays</t>
  </si>
  <si>
    <t>Segregation</t>
  </si>
  <si>
    <t>HV/LV/F&amp;G</t>
  </si>
  <si>
    <t>SS 316 ou CS + Galva</t>
  </si>
  <si>
    <t>Peinture</t>
  </si>
  <si>
    <t>peinture sur galva ou inox ou pas ?</t>
  </si>
  <si>
    <t>BJ</t>
  </si>
  <si>
    <t>316 ou autre</t>
  </si>
  <si>
    <t>EP protection (explosion Proof)</t>
  </si>
  <si>
    <t>EXI / EX d / autres</t>
  </si>
  <si>
    <t>local panels shall be type 316 stainless steel</t>
  </si>
  <si>
    <t>with solar protection shield</t>
  </si>
  <si>
    <t>SIL levels</t>
  </si>
  <si>
    <t>2 ou plus ?</t>
  </si>
  <si>
    <t>MMS</t>
  </si>
  <si>
    <t>Bentley nevada ?</t>
  </si>
  <si>
    <t>Telecom</t>
  </si>
  <si>
    <t>Module</t>
  </si>
  <si>
    <t>Field tests</t>
  </si>
  <si>
    <t xml:space="preserve">Std Ax / Description </t>
  </si>
  <si>
    <t>FAT</t>
  </si>
  <si>
    <t>Weighing</t>
  </si>
  <si>
    <t>Protections (SEI 4 C / Tarlap / …)</t>
  </si>
  <si>
    <t>Sea Fastening</t>
  </si>
  <si>
    <t>special calculations</t>
  </si>
  <si>
    <t>port d'expedition</t>
  </si>
  <si>
    <t>Chine / autre ?</t>
  </si>
  <si>
    <t>Elec</t>
  </si>
  <si>
    <t>Normes ?</t>
  </si>
  <si>
    <t>IEEC ou …</t>
  </si>
  <si>
    <t>Tensions / Frequence / phases</t>
  </si>
  <si>
    <t>limites de puissance</t>
  </si>
  <si>
    <t xml:space="preserve">Electrical cabling from the motor starter (MCC provided by Other, located in substation) to motors will be provided and installed by EPC Contractor. </t>
  </si>
  <si>
    <t>distance entre unité et sous station elec</t>
  </si>
  <si>
    <t>Section cables moteurs + Desing VSD (si &lt;300m)</t>
  </si>
  <si>
    <t>Pb émissions (Harmoniques / Compatibilité CE)</t>
  </si>
  <si>
    <t>Niveau d'éclairage si inclus</t>
  </si>
  <si>
    <t>Protection transport</t>
  </si>
  <si>
    <t>Spray interior surfaces (both shell and tube side) with a vapor phase inhibitor such as Cortec VpCI-307 or 309 or equivalent.</t>
  </si>
  <si>
    <t xml:space="preserve"> Apply the Cortec product at a rate of 0.3 kg/m³.</t>
  </si>
  <si>
    <t>General statement</t>
  </si>
  <si>
    <t>Environmental Management System</t>
  </si>
  <si>
    <t>Precom comm assist</t>
  </si>
  <si>
    <t>training</t>
  </si>
  <si>
    <t>special tools</t>
  </si>
  <si>
    <t>guaranties</t>
  </si>
  <si>
    <t>Documents</t>
  </si>
  <si>
    <t>Exclusions</t>
  </si>
  <si>
    <t>Foundations, grouting and civil works</t>
  </si>
  <si>
    <t>Piping outside Package battery limits</t>
  </si>
  <si>
    <t>Wiring from Package JB's to COMPANY's Control Room</t>
  </si>
  <si>
    <t>Cabling to electric motors from the MCC</t>
  </si>
  <si>
    <t>Site installation</t>
  </si>
  <si>
    <t>Lighting</t>
  </si>
  <si>
    <t>Lightning</t>
  </si>
  <si>
    <t>Supply of TEG/Chemicals</t>
  </si>
  <si>
    <t>Fire-proofing material and work</t>
  </si>
  <si>
    <t>Firefighting system</t>
  </si>
  <si>
    <t>Special Inclusions</t>
  </si>
  <si>
    <t>Projet</t>
  </si>
  <si>
    <t>Description</t>
  </si>
  <si>
    <t>Scope of work</t>
  </si>
  <si>
    <t>Scope of supply</t>
  </si>
  <si>
    <t>Operation spare parts (2 years)</t>
  </si>
  <si>
    <t>Consumables</t>
  </si>
  <si>
    <t>Shiping and packing instruction</t>
  </si>
  <si>
    <t>Plot</t>
  </si>
  <si>
    <t>Overall plot plan</t>
  </si>
  <si>
    <t>List of Utilities and conditions</t>
  </si>
  <si>
    <t>Spare parts</t>
  </si>
  <si>
    <t>Cond. Climatiques</t>
  </si>
  <si>
    <t>Client :</t>
  </si>
  <si>
    <t xml:space="preserve">Titre : </t>
  </si>
  <si>
    <t xml:space="preserve">Proj / Ref : </t>
  </si>
  <si>
    <t>ref :</t>
  </si>
  <si>
    <t>Marges de design</t>
  </si>
  <si>
    <t>Approved sub-vendor</t>
  </si>
  <si>
    <t>Contractual</t>
  </si>
  <si>
    <t>Order of Precedence</t>
  </si>
  <si>
    <t>To be provided with the bid</t>
  </si>
  <si>
    <t>Design data</t>
  </si>
  <si>
    <t>Futures extensions à prévoir</t>
  </si>
  <si>
    <t>Injection package</t>
  </si>
  <si>
    <t>Package isolation</t>
  </si>
  <si>
    <t>F&amp;G detection system</t>
  </si>
  <si>
    <t>Piping design at BL</t>
  </si>
  <si>
    <t>Duty Spec</t>
  </si>
  <si>
    <t>Design preffered software</t>
  </si>
  <si>
    <t>Mechanical design criteria</t>
  </si>
  <si>
    <t>General / for all discipline</t>
  </si>
  <si>
    <t>Isolation Philosophy,</t>
  </si>
  <si>
    <t>Equipment Standardisation</t>
  </si>
  <si>
    <t>drip pan</t>
  </si>
  <si>
    <t>Design reviews</t>
  </si>
  <si>
    <t>Vibrations</t>
  </si>
  <si>
    <t>Marquage et installation de safety signes</t>
  </si>
  <si>
    <t>Construction at site</t>
  </si>
  <si>
    <t>Construction</t>
  </si>
  <si>
    <t>Capital</t>
  </si>
  <si>
    <t>Deliveries</t>
  </si>
  <si>
    <t>Site services</t>
  </si>
  <si>
    <t>Electrical efficiency</t>
  </si>
  <si>
    <t>Mechanical</t>
  </si>
  <si>
    <t>Performance</t>
  </si>
  <si>
    <t>Noise</t>
  </si>
  <si>
    <t>Utilities and Consumable consumption</t>
  </si>
  <si>
    <t>Code couleur</t>
  </si>
  <si>
    <t>A clarifier dans notre offre car pas clair…</t>
  </si>
  <si>
    <t>En attente</t>
  </si>
  <si>
    <t>- le lecteur à se focaliser sur les points importants</t>
  </si>
  <si>
    <t>Revision</t>
  </si>
  <si>
    <t>buried pipes or vessels</t>
  </si>
  <si>
    <t>Unit Capacity</t>
  </si>
  <si>
    <t>Turn down requiremetns</t>
  </si>
  <si>
    <t>Special</t>
  </si>
  <si>
    <t>Depressu</t>
  </si>
  <si>
    <t>Procurement</t>
  </si>
  <si>
    <t>Client vendor list</t>
  </si>
  <si>
    <t>Exchangers</t>
  </si>
  <si>
    <t>Water coolers</t>
  </si>
  <si>
    <t>Inlet / outlet max temp</t>
  </si>
  <si>
    <t>Air cooler design</t>
  </si>
  <si>
    <t>general considerations for design</t>
  </si>
  <si>
    <t>Construction &amp; Commissioning</t>
  </si>
  <si>
    <t>RAM studies</t>
  </si>
  <si>
    <t>Hazop / Sil Review</t>
  </si>
  <si>
    <t>Specific safety design</t>
  </si>
  <si>
    <t>Service corrosif</t>
  </si>
  <si>
    <t>special items</t>
  </si>
  <si>
    <t>Fire proofing clips</t>
  </si>
  <si>
    <t>analyser</t>
  </si>
  <si>
    <t>PH Neutralisation pkge</t>
  </si>
  <si>
    <t>Piping NDT</t>
  </si>
  <si>
    <t>Tracing</t>
  </si>
  <si>
    <t>Electrical</t>
  </si>
  <si>
    <t>Steam</t>
  </si>
  <si>
    <t>utility stations, eye wash &amp; safety showers</t>
  </si>
  <si>
    <t>Piping bulk &amp; valves</t>
  </si>
  <si>
    <t>Impacts</t>
  </si>
  <si>
    <t>First fill</t>
  </si>
  <si>
    <t>and lifting beams</t>
  </si>
  <si>
    <t xml:space="preserve"> 20 / 25 years  </t>
  </si>
  <si>
    <t>Engineering Doc CTRL</t>
  </si>
  <si>
    <t>SDRL</t>
  </si>
  <si>
    <t>Software for Steel structure</t>
  </si>
  <si>
    <t>Material certificate</t>
  </si>
  <si>
    <t>3.1 / 3.2</t>
  </si>
  <si>
    <t>Nozzle Minim Size &amp; Sched</t>
  </si>
  <si>
    <t>Type P3</t>
  </si>
  <si>
    <t>Eexi instruments</t>
  </si>
  <si>
    <t>Cables</t>
  </si>
  <si>
    <t>Type spec std…</t>
  </si>
  <si>
    <t>type P2 package?</t>
  </si>
  <si>
    <t>Motor design</t>
  </si>
  <si>
    <t>Motors design details</t>
  </si>
  <si>
    <t>Start current</t>
  </si>
  <si>
    <t>Space heaters from 22KW</t>
  </si>
  <si>
    <t>Separate JB for Space heaters</t>
  </si>
  <si>
    <t>elec working temperature</t>
  </si>
  <si>
    <t>grounding</t>
  </si>
  <si>
    <t>PGO</t>
  </si>
  <si>
    <t>Quality surveillance</t>
  </si>
  <si>
    <t>List of applicable spec</t>
  </si>
  <si>
    <t>Energy Management System</t>
  </si>
  <si>
    <t>Contractual conditions</t>
  </si>
  <si>
    <t>For inquiry</t>
  </si>
  <si>
    <t>For contract</t>
  </si>
  <si>
    <t>Material for PVV</t>
  </si>
  <si>
    <t>Carbon CE equiv.</t>
  </si>
  <si>
    <t>Low temps conditions</t>
  </si>
  <si>
    <t>Impact tests specimens…</t>
  </si>
  <si>
    <t>Minimum THK</t>
  </si>
  <si>
    <t xml:space="preserve">Detail design </t>
  </si>
  <si>
    <t>welding</t>
  </si>
  <si>
    <t>Hardness</t>
  </si>
  <si>
    <t>limit 200 HB</t>
  </si>
  <si>
    <t>PWHT</t>
  </si>
  <si>
    <t>Conditions when applicable</t>
  </si>
  <si>
    <t>Quality personnal</t>
  </si>
  <si>
    <t>Thermal design</t>
  </si>
  <si>
    <t>FT 0.8</t>
  </si>
  <si>
    <t>Design software</t>
  </si>
  <si>
    <t>Velocity limits for water</t>
  </si>
  <si>
    <t>Specific requirement for sea water</t>
  </si>
  <si>
    <t>Minimum THK and CA</t>
  </si>
  <si>
    <t>nb :</t>
  </si>
  <si>
    <t>- les intervenants à accéder - via cette synthese - aux informations qu'ils recherchent,</t>
  </si>
  <si>
    <t>- les estimateurs à retrouver rapidement les inputs nécessaires au chiffrage,</t>
  </si>
  <si>
    <t>- à poser des questions au client si des informations venaient à manquer pour notre offre,</t>
  </si>
  <si>
    <t>- la restitution des informations lues (évite les reletures…)!</t>
  </si>
  <si>
    <t xml:space="preserve">Tube / Tube sheet </t>
  </si>
  <si>
    <t>General requirements</t>
  </si>
  <si>
    <t>Connections tube / tubesheet</t>
  </si>
  <si>
    <t>Tubesheet shall be forged…</t>
  </si>
  <si>
    <t>Bundle pulling</t>
  </si>
  <si>
    <t>same as PVV</t>
  </si>
  <si>
    <t>Material / Welding / manufacture / inspection / painting/ etc..</t>
  </si>
  <si>
    <t>Environment conditions</t>
  </si>
  <si>
    <t>Acces and design conditions</t>
  </si>
  <si>
    <t>Other design</t>
  </si>
  <si>
    <t>Maxi impeller</t>
  </si>
  <si>
    <t>Marge débit / pression</t>
  </si>
  <si>
    <t>Pressure casing</t>
  </si>
  <si>
    <t>Réponse trouvée (si synthétique)</t>
  </si>
  <si>
    <t>CC7</t>
  </si>
  <si>
    <t>Russie</t>
  </si>
  <si>
    <t>Alpha Butol</t>
  </si>
  <si>
    <t>\\runas02\GENERAL\Modules_Budgets\20-20967 - AlphaB+H CC7\01- RFQ\RFQ</t>
  </si>
  <si>
    <t>GCC-CC7-AXE-TRM-00001</t>
  </si>
  <si>
    <t>GCC-CC7-PF-00000-CI-TSP-1001</t>
  </si>
  <si>
    <t xml:space="preserve"> Gas Chemical Complex within Ethane-Containing Gas 
Processing Complex (GCC within EGPC) </t>
  </si>
  <si>
    <t>Dated 27/05/2020</t>
  </si>
  <si>
    <t>Chap. 2</t>
  </si>
  <si>
    <t>P 4/24</t>
  </si>
  <si>
    <t>Chap. 3</t>
  </si>
  <si>
    <t>P 5/24</t>
  </si>
  <si>
    <t>Chap. 4</t>
  </si>
  <si>
    <t>Номер и дата утверждения документа</t>
  </si>
  <si>
    <t>Document approval number and date</t>
  </si>
  <si>
    <t>Наименование документа</t>
  </si>
  <si>
    <t>Document Title</t>
  </si>
  <si>
    <t xml:space="preserve">№69-ФЗ от 21.12.1994г </t>
  </si>
  <si>
    <t>О пожарной безопасности</t>
  </si>
  <si>
    <t xml:space="preserve">No. 69-FZ dated 21.12.1994 </t>
  </si>
  <si>
    <t>On Fire Safety</t>
  </si>
  <si>
    <t>№116-ФЗ от 21.07.1997г</t>
  </si>
  <si>
    <t xml:space="preserve">О промышленной безопасности опасных производственных объектов </t>
  </si>
  <si>
    <t>No. 116-FZ dated 21.07.1997</t>
  </si>
  <si>
    <t xml:space="preserve">On Industrial Safety of Hazardous Production Facilities </t>
  </si>
  <si>
    <t xml:space="preserve">№ 123-ФЗ от 22.07.2008г. </t>
  </si>
  <si>
    <t>Технический регламент о требованиях пожарной безопасности</t>
  </si>
  <si>
    <t xml:space="preserve">No. 123-FZ dated 22.07.2008 </t>
  </si>
  <si>
    <t>Technical Regulations on Fire Safety Requirements</t>
  </si>
  <si>
    <t xml:space="preserve">№ 384-ФЗ от 30.12.2009 </t>
  </si>
  <si>
    <t>Технический регламент о безопасности зданий и сооружений</t>
  </si>
  <si>
    <t xml:space="preserve">No. 384-FZ dated 30.12.2009 </t>
  </si>
  <si>
    <t>Technical Regulation on the Safety of Buildings and Structures</t>
  </si>
  <si>
    <t>Постановление Правительства РФ от 26.12.2014 N 1521</t>
  </si>
  <si>
    <t xml:space="preserve">Перечень национальных стандартов и сводов правил (частей таких стандартов и сводов правил), в результате применения которых на обязательной основе обеспечивается соблюдение требований Федерального закона "Технический регламент о безопасности зданий и сооружений" </t>
  </si>
  <si>
    <t>RF Government Decree No. 1521 dd. 12.26.2014</t>
  </si>
  <si>
    <t xml:space="preserve">The list of standards and codes (sections of such standards and codes), the application of which on a mandatory basis ensures compliance with the requirements of Federal Law "Technical Regulation on the Safety of Buildings and Structures". </t>
  </si>
  <si>
    <t>Постановление Правительства РФ №87 от 16.02.08.</t>
  </si>
  <si>
    <t>О составе разделов проектной документации и требованиях к их содержанию.</t>
  </si>
  <si>
    <t>Government Decree No. 87 dd. 16.02.08.</t>
  </si>
  <si>
    <t>On the Scope of Design Documentation Sections and Requirements for Their Content</t>
  </si>
  <si>
    <t>ГОСТ 21.105-95</t>
  </si>
  <si>
    <t>Общие требования к текстовым документам</t>
  </si>
  <si>
    <t>GOST 21.105-95</t>
  </si>
  <si>
    <t>General requirements for textual documents</t>
  </si>
  <si>
    <t>ГОСТ Р 21.1101-2013</t>
  </si>
  <si>
    <t xml:space="preserve">Система проектной документации для строительства. Основные требования к проектной и рабочей документации </t>
  </si>
  <si>
    <t>GOST R 21.1101-2013</t>
  </si>
  <si>
    <t xml:space="preserve">System of design documents for construction. Requirements for design and detailed documentation. </t>
  </si>
  <si>
    <t>ГОСТ 21.501-2011</t>
  </si>
  <si>
    <t>Правила выполнения рабочей документации архитектурных и конструктивных решений"</t>
  </si>
  <si>
    <t>GOST 21.501-2011</t>
  </si>
  <si>
    <t>Rules for architectural and construction solutions detailed design documentation development.</t>
  </si>
  <si>
    <t>ГОСТ 21.502-2016</t>
  </si>
  <si>
    <t>Правила выполнения РД металлических конструкций</t>
  </si>
  <si>
    <t>GOST 21.502-2016</t>
  </si>
  <si>
    <t>Rules for metal structures detailed design documentation development.</t>
  </si>
  <si>
    <t xml:space="preserve">ГОСТ 32569-2013 </t>
  </si>
  <si>
    <t xml:space="preserve">Трубопроводы технологические стальные. Требования к устройству и эксплуатации на взрывопожароопасных и химически опасных производствах </t>
  </si>
  <si>
    <t xml:space="preserve">GOST 32569-2013 </t>
  </si>
  <si>
    <t xml:space="preserve">Steel process pipelines. Arrangement and installation requirements at explosion and fire and chemically hazardous plants. </t>
  </si>
  <si>
    <t>ГОСТ Р 27751-2014</t>
  </si>
  <si>
    <t>Надежность строительных конструкций и оснований</t>
  </si>
  <si>
    <t>GOST R 27751-2014</t>
  </si>
  <si>
    <t>Reliability of building structures and foundations.</t>
  </si>
  <si>
    <t xml:space="preserve">СП 1.13130.2009 </t>
  </si>
  <si>
    <t xml:space="preserve">Системы противопожарной защиты. Эвакуационные пути и выходы </t>
  </si>
  <si>
    <t xml:space="preserve">SP 1.13130.2009 </t>
  </si>
  <si>
    <t xml:space="preserve">Fire protection systems. Evacuation routes and exits </t>
  </si>
  <si>
    <t>СП 2.13130.2013</t>
  </si>
  <si>
    <t>Обеспечение огнестойкости объектов защиты</t>
  </si>
  <si>
    <t>SP 2.13130.2013</t>
  </si>
  <si>
    <t>Fireproofing of Protected Facilities</t>
  </si>
  <si>
    <t xml:space="preserve">СП 4.13130.2013 </t>
  </si>
  <si>
    <t xml:space="preserve">Системы противопожарной защиты. Ограничение распространения пожара на объектах защиты. Требования к объемно-планировочным и конструктивным решениям </t>
  </si>
  <si>
    <t xml:space="preserve">SP 4.13130.2013 </t>
  </si>
  <si>
    <t xml:space="preserve">Fire protection systems. Restriction of fire spread at protected facilities. Requirements to space-planning and structural decisions. </t>
  </si>
  <si>
    <t>СП 16.13330.2011</t>
  </si>
  <si>
    <t>Стальные конструкции</t>
  </si>
  <si>
    <t>SP 16.13330.2011</t>
  </si>
  <si>
    <t>Steel structures</t>
  </si>
  <si>
    <t>СП 20.13330.2011</t>
  </si>
  <si>
    <t>СП 20.13330.2016</t>
  </si>
  <si>
    <t>Нагрузки и воздействия</t>
  </si>
  <si>
    <t>SP 20.13330.2011</t>
  </si>
  <si>
    <t>SP 20.13330.2016</t>
  </si>
  <si>
    <t>Loads and Effects</t>
  </si>
  <si>
    <t>СП 22.13330.2011</t>
  </si>
  <si>
    <t>Основания зданий и сооружений</t>
  </si>
  <si>
    <t>SP 22.13330.2011</t>
  </si>
  <si>
    <t>Bases of Buildings and Structures.</t>
  </si>
  <si>
    <t>СП 24.13330.2011</t>
  </si>
  <si>
    <t>Свайные фундаменты</t>
  </si>
  <si>
    <t>SP 24.13330.2011</t>
  </si>
  <si>
    <t>Pile Foundations</t>
  </si>
  <si>
    <t>СП 28.13330.2017</t>
  </si>
  <si>
    <t>Защита строительных конструкций от коррозии</t>
  </si>
  <si>
    <t>SP 28.13330.2017</t>
  </si>
  <si>
    <t>Protection of Building Structures against Corrosion</t>
  </si>
  <si>
    <t xml:space="preserve">СП 43.13330.2012 </t>
  </si>
  <si>
    <t xml:space="preserve">Сооружения промышленных предприятий. </t>
  </si>
  <si>
    <t xml:space="preserve">SP 43.13330.2012 </t>
  </si>
  <si>
    <t xml:space="preserve">Structures of Industrial Facilities </t>
  </si>
  <si>
    <t>СП 63.13330.2012</t>
  </si>
  <si>
    <t>Бетонные и железобетонные конструкции</t>
  </si>
  <si>
    <t>SP 63.13330.2012</t>
  </si>
  <si>
    <t>Concrete and Reinforced Concrete Structures</t>
  </si>
  <si>
    <t>СП 131.13330.2012</t>
  </si>
  <si>
    <t>Строительная климатология</t>
  </si>
  <si>
    <t>SP 131.13330.2012</t>
  </si>
  <si>
    <t>Construction Climatology.</t>
  </si>
  <si>
    <t xml:space="preserve">ПБЭ НП-2001 </t>
  </si>
  <si>
    <t xml:space="preserve">Правила безопасной эксплуатации и охраны труда для нефтеперерабатывающих производств </t>
  </si>
  <si>
    <t xml:space="preserve">PBE NP-2001 </t>
  </si>
  <si>
    <t xml:space="preserve">Rules for safe operation and labour protection for oil refineries </t>
  </si>
  <si>
    <t>Рекомендации по составу и оформлению отчетной документации по результатам расчетов строительных конструкций и оснований зданий и сооружений, представляемых на государственную экспертизу проектной документации" ФАУ ГГЭ</t>
  </si>
  <si>
    <t>Recommendations on the reporting documentation composition and execution following the structural calculation of buildings and foundations of buildings and structures for submission to expert examination of design documentations to FAI GGE</t>
  </si>
  <si>
    <t>Специальные технические условия проекта</t>
  </si>
  <si>
    <t>Project Specific Technical Specification</t>
  </si>
  <si>
    <t>Chap. 5</t>
  </si>
  <si>
    <t>P 8/24</t>
  </si>
  <si>
    <t>Pipe rack</t>
  </si>
  <si>
    <t>Provision shall be made for the use of I-beams with a corrugated wall for columns, cross-beams, beams (corrugated beams) in areas of their possible application (according to the re-quirements of fire rating, resistance to corrosive services), as more cost effective structural steel</t>
  </si>
  <si>
    <t>Stell beams</t>
  </si>
  <si>
    <t>For general input data, refer to GCC-LGN-PMD-00000-GE-BOD-00001</t>
  </si>
  <si>
    <t>P 9/24</t>
  </si>
  <si>
    <t>Steel structures shall be designed in accordance with the technical requirements of document GCC-CC7-PF-00000-SS-TSP-1002</t>
  </si>
  <si>
    <t>Chap. 6.2</t>
  </si>
  <si>
    <t>P 10/24</t>
  </si>
  <si>
    <t>GCC-CC7-PF-00000-SS-TSP-1002</t>
  </si>
  <si>
    <t>Protection feu escaliers</t>
  </si>
  <si>
    <t>P 15/24</t>
  </si>
  <si>
    <t>Chap. 6.26</t>
  </si>
  <si>
    <t>Painting on Steel Structure</t>
  </si>
  <si>
    <t>Chap. 7</t>
  </si>
  <si>
    <t>P 16/24</t>
  </si>
  <si>
    <r>
      <t>For buildings and structures</t>
    </r>
    <r>
      <rPr>
        <b/>
        <sz val="11"/>
        <color theme="1"/>
        <rFont val="Calibri"/>
        <family val="2"/>
        <scheme val="minor"/>
      </rPr>
      <t xml:space="preserve"> with explosion hazard category I and II</t>
    </r>
    <r>
      <rPr>
        <sz val="11"/>
        <color theme="1"/>
        <rFont val="Calibri"/>
        <family val="2"/>
        <scheme val="minor"/>
      </rPr>
      <t>, the criticality rating shall be high in accordance with Federal Law No. 384-FZ dd. 30.12.09 . Criticality-based safety factor shall be 1.1. The class of buildings and structures shall be KS3 as per GOST 27751-2014.
For other buildings and structures (other than hazard class I and II), the criticality rating shall be normal as per Federal Law No. 384-FZ dd. 30.12.09. Criticality-based safety factor shall be 1.0. The class of buildings and structures shall be KS2 as per GOST 27751-2014.</t>
    </r>
  </si>
  <si>
    <t>The load-bearing structures of buildings, rack structures to the height of the first floor, pipe racks to the height of the first tier shall be designed, as a rule, reinforced concrete. As an exception, structures can be made of metal (if reasoned), but in this case, the load-bearing structures shall have fire protection in accordance with the requirements of regulatory documents on fire safety
Racks shall be designed subject to GCC-CC7-PF-00000-CI-TSP-6001 Specification for Typical Piperack Design</t>
  </si>
  <si>
    <t>Fireproofing</t>
  </si>
  <si>
    <t>Chap. 8</t>
  </si>
  <si>
    <t>P 19/24</t>
  </si>
  <si>
    <t>all</t>
  </si>
  <si>
    <t>GCC-LGN-PMD-00000-GE-BOD-00001</t>
  </si>
  <si>
    <t xml:space="preserve">GCC-CC7-PF-00000-CI-TSP-6001 </t>
  </si>
  <si>
    <t xml:space="preserve">ПУЭ </t>
  </si>
  <si>
    <t xml:space="preserve">Правила устройства электроустановок, 6-е издание Глава 7.3 Электроустановки во взрывоопасных зонах. </t>
  </si>
  <si>
    <t xml:space="preserve">EIC </t>
  </si>
  <si>
    <t xml:space="preserve">Electrical Installation Codes, 6th Edition, Chapter 7.3 Electrical plants in Explosion Hazardous Zones </t>
  </si>
  <si>
    <t>ПУЭ</t>
  </si>
  <si>
    <t>Правила устройства электроустановок. Раздел 2.3.113</t>
  </si>
  <si>
    <t>EIC</t>
  </si>
  <si>
    <t>Electrical Installation Codes. Section 2.3.113</t>
  </si>
  <si>
    <t>Пособие по проектированию отдельно стоящих опор и эстакад под технологические трубопроводы (к СНиП 2.09.03-85)</t>
  </si>
  <si>
    <t>Guideline for Designing Stand-Alone Supports and Racks for Process Pipelines (to SNiP 2.09.03-85)</t>
  </si>
  <si>
    <t xml:space="preserve">Recommendations on the Reporting Documentation Composition and Execution Following the Structural Calculation of Buildings and Foundations of Buildings and Structures for Submission to Expert Examination of Design Documentations to FAI GGE </t>
  </si>
  <si>
    <t>NOTES</t>
  </si>
  <si>
    <t xml:space="preserve">Piperack_Design_Specification </t>
  </si>
  <si>
    <t>SP 62.13330</t>
  </si>
  <si>
    <t>СНиП 21-01-97</t>
  </si>
  <si>
    <t>Пожарная безопасность зданий и сооружений</t>
  </si>
  <si>
    <t>SNiP 21-01-97</t>
  </si>
  <si>
    <t>Fire Safety of Buildings and Structures</t>
  </si>
  <si>
    <t xml:space="preserve">Sp 1.13130.2009 </t>
  </si>
  <si>
    <t xml:space="preserve">Fire Protection Systems. Evacuation Routes and Exits </t>
  </si>
  <si>
    <t xml:space="preserve">Fire Protection Systems. Restriction of Fire Spread at Protected Facilities.  Requirements to Space-Planning and Structural Decisions. </t>
  </si>
  <si>
    <t xml:space="preserve">Приказ Ростехнадзора от 25.03.2014 N 116 </t>
  </si>
  <si>
    <t xml:space="preserve">Федеральные нормы и правила в области промышленной безопасности "Правила промышленной безопасности опасных производственных объектов, на которых используется оборудование, работающее под избыточным давлением" </t>
  </si>
  <si>
    <t xml:space="preserve">Rostekhnadzor Order No 116 dated 25.03.2014 </t>
  </si>
  <si>
    <t xml:space="preserve">Federal Industrial Safety Norms and Regulations "Industrial Safety Regulations for Hazardous Production Facilities where Pressure Equipment is Used"; </t>
  </si>
  <si>
    <t>Dimensions (minimums)</t>
  </si>
  <si>
    <t>Cable ways</t>
  </si>
  <si>
    <t>Staircases and ladders</t>
  </si>
  <si>
    <t>P 23/26</t>
  </si>
  <si>
    <t>Pipelines</t>
  </si>
  <si>
    <t>P 20/26</t>
  </si>
  <si>
    <t>Chap. 6</t>
  </si>
  <si>
    <t>P 18/26</t>
  </si>
  <si>
    <t>6. Cable routes
../.. Tout sur le desfing des routing de câbles sur les piperack…</t>
  </si>
  <si>
    <t>7. Piplines
../.. Conditions de desing des lignes de piping</t>
  </si>
  <si>
    <t>8. Staircases and ladders
8.1 As a rule, shaft ladders shall be free-standing. 
 Shaft ladders are allowed to be attached to the rack frame. 
 At the same time, shaft ladders are structures intended for climbing the rack platforms with a load-bearing framework that supports flights of stairs and, if necessary, a fireproof screen.
ETC../..</t>
  </si>
  <si>
    <t>Requirements for loads and effects to be taken as per SP 20.13330.2011 and the Guidebook to SNiP 2.09.03-85. Values of snow loads shall be taken as per SP 20.13330.2016. 
Terrain category A shall be taken for wind loads.  Terrain category B may be applied when it is reasoned.  For different directions of wind load, it is allowed to apply various categories of terrain.
../..
4. Space-Planning Solutions (Dans ce chapitres des contraintes de distances...)</t>
  </si>
  <si>
    <t>P 12/26</t>
  </si>
  <si>
    <t>Chap. 4, 5 et 9</t>
  </si>
  <si>
    <t>Spec de design des piperacks</t>
  </si>
  <si>
    <t>General_Structural_Specification</t>
  </si>
  <si>
    <t>x</t>
  </si>
  <si>
    <t>CI-TSP-1001</t>
  </si>
  <si>
    <t>CI-TSP-6001</t>
  </si>
  <si>
    <t>General_Civil_Specification</t>
  </si>
  <si>
    <t>SS-TSP-1002</t>
  </si>
  <si>
    <t>Voir cette spec for steel structure</t>
  </si>
  <si>
    <t>Rolled steel profiles, bar sections, steel bent profiles, flat products shall be applied as per the valid state standards: GOST 57837-2017, GOST 8509-93, GOST 8240-97, GOST 30245-2003, GOST 19903-2015, GOST 8510-86, GOST 2590-2006, GOST 4121-96, GOST 24045-2016, GOST 19425-74 etc.
Since particular grades of I-beams may not be available if ordered as per GOST 57837-2017, it is allowed to manufacture welded I-beams as per manufacturers specifications but with the geometry of profiles not less than specified in 
GOST 57837-2017.
Use of steel beams and columns made of I-beams with corrugated web not subjected to high requirements for fireproofing, corrosion resistance for buildings, shelters and some portions of racks (without HIL, FL, LPG, aggressive operating conditions) is allowed.</t>
  </si>
  <si>
    <t>P 7/19</t>
  </si>
  <si>
    <t>6.26. Screen for open escape stairs
The screen for open escape stairs shall be pro-vided using profiled galvanized sheet or from sandwich panels (as per GOST 32603-2012). The fireproof screen shall have factory applied corrosion protection based on the corporate col-our scheme</t>
  </si>
  <si>
    <t>Deflections and displacements of structures shall comply with SP 20.13330.2011 or process inputs if requirements are more severe</t>
  </si>
  <si>
    <t>P 8/19</t>
  </si>
  <si>
    <t>7. Loads and Effects
Steel structure loads and effects shall comply with SP 20.13330.2011 and process design specification.
Etc../..
Tout type de charges: PVV, PSV, etc…</t>
  </si>
  <si>
    <t>stairs / Ladders</t>
  </si>
  <si>
    <t>Plateforms</t>
  </si>
  <si>
    <t>Chap. 11</t>
  </si>
  <si>
    <t>Chap. 12</t>
  </si>
  <si>
    <t>P 11/19</t>
  </si>
  <si>
    <t>As required by regulations, provide the height of handrails 1,1m; 1,2m; 1,25m; the height of these handrails shall be 1,25m. For typical solutions of handrails with height 1,0m; 1,25m and ladders handrails ref. Attachment 2</t>
  </si>
  <si>
    <t xml:space="preserve">The following shall be used as steel flooring of platforms:
- zinc-plated grating for non-corrosive or slight-ly corrosive ambient air. The grating height shall be 30mm, thickness of load bearing bar 5mm, and cell dimensions 34х38mm. The step shall be made of the grating with a load bearing bar 5mm thick and 30mm high. Bearing ele-ments shall have serrated surface to prevent slipping. The grating shall be attached to the bearing structure by removable clamps. It is al-lowed to use a zinc-plated grating for medium and highly aggressive environment with paint coat as per table Ц.1 of SP 28.13330.2012.
</t>
  </si>
  <si>
    <t>voir ci-dessus</t>
  </si>
  <si>
    <t>For the steel structures design, the corrosion protection and paint coating shall comply with requirements of SP 28.13330-2012
../..
Specification GCC-CC7-PF-00000-CI-TSP-1001.</t>
  </si>
  <si>
    <t>Chap. 15</t>
  </si>
  <si>
    <t>P 13/19</t>
  </si>
  <si>
    <t>Chap.16</t>
  </si>
  <si>
    <t xml:space="preserve">Paint colours for steel structures as per RAL:
• yellow - RAL 1021
• grey - RAL 7004
Structures of facilities:
• all steel structures except for handrails (grey)
• handrails (yellow)
Paint colours as per Principle Exterior Colour Scheme for Buildings and Structures GCC-CC7-PF-00000-PE-TSP-1005.
</t>
  </si>
  <si>
    <t>Chap. 17</t>
  </si>
  <si>
    <t>Structures for Platforms on vessels</t>
  </si>
  <si>
    <t>Chap. 18</t>
  </si>
  <si>
    <t>P 14/19</t>
  </si>
  <si>
    <t xml:space="preserve">18. Additional Requirements for Equipment Steel Platforms 
../.. </t>
  </si>
  <si>
    <t>Chap. 19</t>
  </si>
  <si>
    <t>P 16/19</t>
  </si>
  <si>
    <r>
      <t>19. Interaction with KMD Designers</t>
    </r>
    <r>
      <rPr>
        <sz val="12"/>
        <color theme="1"/>
        <rFont val="Times New Roman"/>
        <family val="1"/>
      </rPr>
      <t xml:space="preserve">
Steel structures manufacturer shall design KMD package based on KM and KMT drawings. Requirements for KMD Detailed Design Documentation shall be in accordance with “Temporary Instruction for Composition and Formatting of Civil Detailed Design Drawings of Buildings and Structures”.
When engineering the KMD drawings, calculations of the details not shown in KM and KMT packages shall be prepared for the hold-down force specified in the list of elements in KM and KMT sheets, as well as the calculation of the parts thickness, welds sizes, number, spacing and strength class of bolts or other fasteners.
When engineering the KMD drawings, check calculation for the details shown in KM and KMT packages for the hold-down force specified in the list of elements in KM and KMT sheets shall be prepared.
The maximum optimization of labour efficiency shall be provided to facilitate the data exchange between the KM and KMD designers. For that, KM designers shall submit Tecla 3D model to KMD designers, if it is not in conflict with the contractual obligations.</t>
    </r>
    <r>
      <rPr>
        <b/>
        <sz val="12"/>
        <color theme="1"/>
        <rFont val="Times New Roman"/>
        <family val="1"/>
      </rPr>
      <t xml:space="preserve">
</t>
    </r>
  </si>
  <si>
    <t>Conceptual_Exterior_Colour_Scheme_of_Buildings_and_Structures</t>
  </si>
  <si>
    <t>GCC-CC7-PF-00000-PE-TSP-1005_00_7__</t>
  </si>
  <si>
    <t>Chap. 1.1</t>
  </si>
  <si>
    <t>- la coordonnination des lecteurs et à augmenter l'efficacité de la lecture,</t>
  </si>
  <si>
    <t>Project and detailed design documentation shall be developed as per the requirements of Decree No.87, GOST 21.501, GOST 21.502, GOST 21.1101</t>
  </si>
  <si>
    <t>Fire proofing of steel structures shall be provid-ed in accordance with Federal Law No.123-FZ, SP 2.13130.2012, SP 4.13130.2013. All required information related to the fire proofing shall be provided in KM drawings. 
For additional requirements for fireproofing of civil structures ref. Specification GCC-CC7-PF-00000-CI-TSP-1001</t>
  </si>
  <si>
    <t>Liste des codes et stadards rencontrés dans les spec lues (&amp; 4 Codes et Stds):</t>
  </si>
  <si>
    <t>en cours ou à compléter</t>
  </si>
  <si>
    <t>Missing Document (example refered into specifications)</t>
  </si>
  <si>
    <t>Définition du package /ISBL/OSBL…</t>
  </si>
  <si>
    <r>
      <t xml:space="preserve">../..
The term package unit as used herein is considered as any pre-assembled piece of equipment made of individual components with the intent of creating and (or) controlling a desired function of a process. Further the unit is intended to be complete before delivery from the manufacturer to site and does not require any other construction activity, other than installation on its foundation and connection where applicable of inter connecting pipes, and hookup of power, utilities sources and dependent external controls.
A package unit can either consist of one single unit installed on its own designated base plate, or multiple units or components installed on different locations or floor levels and with or without its own base plate. </t>
    </r>
    <r>
      <rPr>
        <b/>
        <sz val="11"/>
        <rFont val="Calibri"/>
        <family val="2"/>
        <scheme val="minor"/>
      </rPr>
      <t>A package unit shall be defined by its function</t>
    </r>
  </si>
  <si>
    <t xml:space="preserve">Requirements_for_Package_units </t>
  </si>
  <si>
    <t>GCC-CC7-PF-00000-PE-TSP-7001</t>
  </si>
  <si>
    <t>Chap. 1</t>
  </si>
  <si>
    <t>P 4/26</t>
  </si>
  <si>
    <t>Cette spec est la réquisition</t>
  </si>
  <si>
    <t>Nom du fichier / référence du document</t>
  </si>
  <si>
    <t>APPLICABLE CODES, STANDARDS AND SPECIFICATIONS</t>
  </si>
  <si>
    <t>Toutes les spec rappellent les normes et stds comme pour le GC etc…</t>
  </si>
  <si>
    <r>
      <rPr>
        <u/>
        <sz val="11"/>
        <color theme="1"/>
        <rFont val="Calibri"/>
        <family val="2"/>
        <scheme val="minor"/>
      </rPr>
      <t>Toutes les spec reprennent globalement ce chapitre (pas strictement identique dans le texte):</t>
    </r>
    <r>
      <rPr>
        <sz val="11"/>
        <color theme="1"/>
        <rFont val="Calibri"/>
        <family val="2"/>
        <scheme val="minor"/>
      </rPr>
      <t xml:space="preserve">
</t>
    </r>
    <r>
      <rPr>
        <b/>
        <sz val="11"/>
        <color theme="1"/>
        <rFont val="Calibri"/>
        <family val="2"/>
        <scheme val="minor"/>
      </rPr>
      <t xml:space="preserve">A/ </t>
    </r>
    <r>
      <rPr>
        <sz val="11"/>
        <color theme="1"/>
        <rFont val="Calibri"/>
        <family val="2"/>
        <scheme val="minor"/>
      </rPr>
      <t>federal Laws / regulations..</t>
    </r>
    <r>
      <rPr>
        <b/>
        <sz val="11"/>
        <color theme="1"/>
        <rFont val="Calibri"/>
        <family val="2"/>
        <scheme val="minor"/>
      </rPr>
      <t xml:space="preserve"> B/</t>
    </r>
    <r>
      <rPr>
        <sz val="11"/>
        <color theme="1"/>
        <rFont val="Calibri"/>
        <family val="2"/>
        <scheme val="minor"/>
      </rPr>
      <t xml:space="preserve"> standardization  applied on a mandatory basis, approved PSTS (Project spec)</t>
    </r>
    <r>
      <rPr>
        <b/>
        <sz val="11"/>
        <color theme="1"/>
        <rFont val="Calibri"/>
        <family val="2"/>
        <scheme val="minor"/>
      </rPr>
      <t xml:space="preserve"> C/ </t>
    </r>
    <r>
      <rPr>
        <sz val="11"/>
        <color theme="1"/>
        <rFont val="Calibri"/>
        <family val="2"/>
        <scheme val="minor"/>
      </rPr>
      <t xml:space="preserve">Standards.. practices </t>
    </r>
    <r>
      <rPr>
        <b/>
        <sz val="11"/>
        <color theme="1"/>
        <rFont val="Calibri"/>
        <family val="2"/>
        <scheme val="minor"/>
      </rPr>
      <t xml:space="preserve">D/ </t>
    </r>
    <r>
      <rPr>
        <sz val="11"/>
        <color theme="1"/>
        <rFont val="Calibri"/>
        <family val="2"/>
        <scheme val="minor"/>
      </rPr>
      <t>voluntary documents ??</t>
    </r>
    <r>
      <rPr>
        <b/>
        <sz val="11"/>
        <color theme="1"/>
        <rFont val="Calibri"/>
        <family val="2"/>
        <scheme val="minor"/>
      </rPr>
      <t xml:space="preserve"> E/</t>
    </r>
    <r>
      <rPr>
        <sz val="11"/>
        <color theme="1"/>
        <rFont val="Calibri"/>
        <family val="2"/>
        <scheme val="minor"/>
      </rPr>
      <t xml:space="preserve"> Client spec
</t>
    </r>
    <r>
      <rPr>
        <b/>
        <sz val="11"/>
        <color theme="1"/>
        <rFont val="Calibri"/>
        <family val="2"/>
        <scheme val="minor"/>
      </rPr>
      <t>Complément-1:</t>
    </r>
    <r>
      <rPr>
        <sz val="11"/>
        <color theme="1"/>
        <rFont val="Calibri"/>
        <family val="2"/>
        <scheme val="minor"/>
      </rPr>
      <t xml:space="preserve">  field of standardization applied on a mandatory basis shall be taken from the list approved by Government Decree No. 1521 of December 26, 2014
</t>
    </r>
    <r>
      <rPr>
        <b/>
        <sz val="11"/>
        <color theme="1"/>
        <rFont val="Calibri"/>
        <family val="2"/>
        <scheme val="minor"/>
      </rPr>
      <t>Complément-2</t>
    </r>
    <r>
      <rPr>
        <sz val="11"/>
        <color theme="1"/>
        <rFont val="Calibri"/>
        <family val="2"/>
        <scheme val="minor"/>
      </rPr>
      <t>: Standardization applied on a voluntary basis may be adopted in accordance with the list approved by Order No. 831 issued by the Ministry of Industry and Trade of the Russian Federation on 04.17.19</t>
    </r>
  </si>
  <si>
    <r>
      <t>../..
List of Applicable Russian Standards and Codes – ref. Attachment 1.
List of Applicable Design Technical Specifications and Requirements – ref. Attachment 2.</t>
    </r>
    <r>
      <rPr>
        <b/>
        <sz val="11"/>
        <rFont val="Calibri"/>
        <family val="2"/>
        <scheme val="minor"/>
      </rPr>
      <t xml:space="preserve">
Liste compilée : (voir détail onglet "Codes et Std")</t>
    </r>
  </si>
  <si>
    <t>P 5/26</t>
  </si>
  <si>
    <t>Outdoor</t>
  </si>
  <si>
    <t>../.. Unless otherwise specified in the Client’ technical data, all equipment and auxiliary components shall be suitable for outdoor installation at the ambient conditions. ../..</t>
  </si>
  <si>
    <t>Chap. 3.1</t>
  </si>
  <si>
    <t>P 6/26</t>
  </si>
  <si>
    <t>GCC-CC7-PF-00000-ME-TSP-5006</t>
  </si>
  <si>
    <t>../.. Service life and turnaround periods of the equipment in accordance with doc. Mechanical Equipment Design Criteria GCC-CC7-PF-00000-ME-TSP-5006 ../..</t>
  </si>
  <si>
    <t>Extend of modularization / Trial fitting at Yard</t>
  </si>
  <si>
    <t>../.. The unit shall be shop-assembled to the maximum extent practical to minimize on-site installation works.
All loose-shipped components requiring field installation shall be trial fitted in the shop of the package unit manufacturer. ../..</t>
  </si>
  <si>
    <t>../.. All equipment and piping shall be grounded and bonded in accordance with doc. Lightning and Earthing Philosophy GCC-CC7-PF-00000-EL-TSP-9012 ../..</t>
  </si>
  <si>
    <t>Lightning and Earthing Philosophy</t>
  </si>
  <si>
    <t>GCC-CC7-PF-00000-EL-TSP-9012</t>
  </si>
  <si>
    <t xml:space="preserve"> HSE Protection Philosophy </t>
  </si>
  <si>
    <t>../.. Requirements for the health, safety and environment are provided in doc. HSE Protection Philosophy GCC-CC7-PF-00000-HS-TSP-3007../..</t>
  </si>
  <si>
    <t>../.. Requirements for the wind and snow loads in accordance with doc. Mechanical Equipment Design Criteria GCC-CC7-PF-00000-ME-TSP-5006../..</t>
  </si>
  <si>
    <t>P 7/26</t>
  </si>
  <si>
    <t>../.. Requirements for the permissible sound levels as produced by the package units are provided in doc. Mechanical Equipment Design Criteria GCC-CC7-PF-00000-ME-TSP-5006.</t>
  </si>
  <si>
    <t>Final assembly of the package unit shall provide unobstructed access to all equipment items re-quiring periodic maintenance, including the lay-out of cable trays, piping and Instrumentation ../.. Shall avoid to ../.. The Package unit Vendor shall provide a proce-dure with a description of replacing the parts that require frequent maintenance in the most economic and least time consuming manner</t>
  </si>
  <si>
    <t>Chap. 3.2</t>
  </si>
  <si>
    <t xml:space="preserve">The scope of works and services of the Package unit Vendor shall be specified while contracting the equipment supply.
The split of works and services scope between the Vendor and Client shall reflect a well considered balance between commercial, technical and logistical considerations. All items which are required to make a package unit a fully operational and safe unit shall be supplied by the Package unit Vendor. 
The scope split shall be clearly marked on the P&amp;ID’s../..
</t>
  </si>
  <si>
    <t>P 8/26</t>
  </si>
  <si>
    <t>Chap. 3.3</t>
  </si>
  <si>
    <t>../.. Requirements for the method and facilities for connection of the electrical equipment power cables at the Package unit BL in accordance with doc. Electrical Requirements for Mechani-cal Equipment GCC-CC7-PF-00000-EL-TSP-9011../..</t>
  </si>
  <si>
    <t>Module BL</t>
  </si>
  <si>
    <t>Instrument loose items</t>
  </si>
  <si>
    <t>Pour instruments</t>
  </si>
  <si>
    <t xml:space="preserve">../.. Heated enclosures for the Instrumentation are included to the Package unit vendor scope of supply ../.. </t>
  </si>
  <si>
    <t>../.. The required type and size, standard and mate-rial of the counter flanges to be welded to the Client’s piping shall be submitted to the Vendor if detailed design documentation for the Unit is approved ../..Battery Limit of the Instrument Air connections: the Instrument Air shall be connected to the In-strument Air Header in the Package unit scope of supply. For individual users../..</t>
  </si>
  <si>
    <t>../.. Battery Limit of the Instrumentation electrical part shall be the terminal boxes included to the scope of supply and mounted on the skid of the packaged equipment. All instruments of the package unit shall be connected to the junction boxes supplied complete with the Unit../..
Battery Limit of the Packaged Control System is the terminal block of the control system cabinet. All external cable connections with the control system cabinet are included to the Client’s scope of supply. In case several cabinets shall be supplied with cable interconnections, such connections will be included to the Package unit Vendor scope of supply</t>
  </si>
  <si>
    <t>GCC-CC7-PF-00000-RQ-TSP-7002</t>
  </si>
  <si>
    <t>Chap. 3.4</t>
  </si>
  <si>
    <t>Vessels and Drums
Vessels and drums of the Package unit shall comply with requirements of doc. Technical requirements to design of vessels GCC-CC7-PF-00000-SQ-TSP-5012../..</t>
  </si>
  <si>
    <t>P 9/26</t>
  </si>
  <si>
    <t>GCC-CC7-PF-00000-SQ-TSP-5012</t>
  </si>
  <si>
    <t xml:space="preserve"> Technical requirements to design of vessels</t>
  </si>
  <si>
    <r>
      <rPr>
        <b/>
        <sz val="11"/>
        <color theme="1"/>
        <rFont val="Calibri"/>
        <family val="2"/>
        <scheme val="minor"/>
      </rPr>
      <t>Safety and Relief Devices</t>
    </r>
    <r>
      <rPr>
        <sz val="11"/>
        <color theme="1"/>
        <rFont val="Calibri"/>
        <family val="2"/>
        <scheme val="minor"/>
      </rPr>
      <t xml:space="preserve">
The Vendor shall provide the equipment with safety and relieve devices required for protection of the personnel, equipment and piping.
As the minimum requirement, the piping and equipment overpressure protection shall comply with doc. Emergency discharge systems design philosophy GCC-CC7-PF-00000-OP-TSP-5001.
Rupture discs shall not be used as the primary relief devices.
</t>
    </r>
  </si>
  <si>
    <t xml:space="preserve">Emergency discharge systems design philosophy </t>
  </si>
  <si>
    <t>Piping interconnections</t>
  </si>
  <si>
    <r>
      <rPr>
        <b/>
        <sz val="11"/>
        <color theme="1"/>
        <rFont val="Calibri"/>
        <family val="2"/>
        <scheme val="minor"/>
      </rPr>
      <t>3.6 Interconnecting Piping</t>
    </r>
    <r>
      <rPr>
        <sz val="11"/>
        <color theme="1"/>
        <rFont val="Calibri"/>
        <family val="2"/>
        <scheme val="minor"/>
      </rPr>
      <t xml:space="preserve">
While contracting, it shall be identified whether interconnecting piping shall be supplied by the Package Unit Vendor or not.
If the Package unit Vendor will supply inter connecting piping, it shall have match marking for easy installation at site.
The Engineering Contractor and the Package unit Vendor shall jointly determine  the routing, locations of supports, and the final fit-up welds for the interconnecting piping.
</t>
    </r>
  </si>
  <si>
    <t>Chap. 3.6</t>
  </si>
  <si>
    <t>A exclure clarirement</t>
  </si>
  <si>
    <r>
      <rPr>
        <b/>
        <sz val="11"/>
        <color theme="1"/>
        <rFont val="Calibri"/>
        <family val="2"/>
        <scheme val="minor"/>
      </rPr>
      <t>General Requirements for Piping Design</t>
    </r>
    <r>
      <rPr>
        <sz val="11"/>
        <color theme="1"/>
        <rFont val="Calibri"/>
        <family val="2"/>
        <scheme val="minor"/>
      </rPr>
      <t xml:space="preserve">../.. Blabla dans ce chapitre…
</t>
    </r>
    <r>
      <rPr>
        <b/>
        <sz val="11"/>
        <color theme="1"/>
        <rFont val="Calibri"/>
        <family val="2"/>
        <scheme val="minor"/>
      </rPr>
      <t>Flanged Joint</t>
    </r>
    <r>
      <rPr>
        <sz val="11"/>
        <color theme="1"/>
        <rFont val="Calibri"/>
        <family val="2"/>
        <scheme val="minor"/>
      </rPr>
      <t>s ../.. Idem… ../..
Detailed requirements for piping, pipe joints and shut-off valves are summarized in doc. Piping Engineering GCC-CC7-PF-00000-PI-TSP-6002. ../..</t>
    </r>
  </si>
  <si>
    <t>GCC-CC7-PF-00000-PI-TSP-6002</t>
  </si>
  <si>
    <t xml:space="preserve">Permissible loads for the equipment and piping nozzles are based on the following documents:
- Vessels Design Specification GCC-CC7-PF-00000-SQ-TSP-5012;
- Customer's Specification for the Supply of Pump Units GCC-CC7-PF-00000-RQ-TSP-7002;
- Technical specifications for design of compressor equipment GCC-CC7-PF-00000-RQ-TSP-7003
- Piping Engineering GCC-CC7-PF-00000-PI-TSP-6002.
</t>
  </si>
  <si>
    <t>P 10/26</t>
  </si>
  <si>
    <t>Piping Engineering</t>
  </si>
  <si>
    <t>Chap. 3.4 &amp; 3.7</t>
  </si>
  <si>
    <t xml:space="preserve">3.8 Welding Works
Requirements for welding of materials are stated in doc. Mechanical Equipment Design Criteria GCC-CC7-PF-00000-ME-TSP-5006.
</t>
  </si>
  <si>
    <t>GCC-CC7-PF-00000-ME-TSP-5006.</t>
  </si>
  <si>
    <t>Chap. 3.8</t>
  </si>
  <si>
    <t>P 11/26</t>
  </si>
  <si>
    <t>Chap. 3.9</t>
  </si>
  <si>
    <t>GCC-CC7-PF-00000-PA-TSP-5007</t>
  </si>
  <si>
    <r>
      <rPr>
        <b/>
        <sz val="11"/>
        <color theme="1"/>
        <rFont val="Calibri"/>
        <family val="2"/>
        <scheme val="minor"/>
      </rPr>
      <t>3.10 Thermal Insulation and Heat Tracing</t>
    </r>
    <r>
      <rPr>
        <sz val="11"/>
        <color theme="1"/>
        <rFont val="Calibri"/>
        <family val="2"/>
        <scheme val="minor"/>
      </rPr>
      <t xml:space="preserve">
Requirements for thermal insulation of the equipment and piping are stated in doc. Heat Insulation: Piping and Equipment GCC-CC7-PF-00000-IS-TSP-6008.
Preferably, the thermal insulation of pumps, as well as of the packaged and modular equipment, shall be included to the equipment supply. Materials of the thermal insulating structure shall be non-flammable. In case of flanged joints, the thermal insulating structure shall be quickly detachable and reusable.
</t>
    </r>
  </si>
  <si>
    <t xml:space="preserve"> Piping and Equipment</t>
  </si>
  <si>
    <t>Chap. 3.10</t>
  </si>
  <si>
    <t>Electrical Heat Tracing Specification</t>
  </si>
  <si>
    <t>Piping and equipment heat tracing shall comply with the following requirements:
- Electrical Heat Tracing Specification GCC-CC7-PF-00000-EL-TSP-9010.</t>
  </si>
  <si>
    <t xml:space="preserve">3.11 Equipment Lifting Operations
A rigid structural steel skid(s) shall be provided that is designed as a single-lift package with all equipment, hardware, control panel and Instrumentation installed.
The skid shall be provided with lifting lugs for a four-point lift. 
Lifting and transport of the skid, complete with all equipment mounted, shall not permanently distort or otherwise damage the skid, the machinery or the mounting surfaces.
Further requirements for lifting are specified in doc. Mechanical Equipment Design Criteria GCC-CC7-PF-00000-ME-TSP-5006.
</t>
  </si>
  <si>
    <t>Installations</t>
  </si>
  <si>
    <t>Chap. 3.11</t>
  </si>
  <si>
    <t>4. ELECTRICAL
For a complete overview of  the electrical requirements for package units, refer to the following documents:
- GCC-CC7-PF-00000-EL-TSP-9011 - Electrical Requirements for Mechanical Equipment;
- GCC-CC7-PF-00000-EL-TSP-9001 - Electrical Design Basis. Refinery Facilities Power Supply Design Specification;</t>
  </si>
  <si>
    <t>Electrical Design Basis. Refinery Facilities Power Supply Design Specification;</t>
  </si>
  <si>
    <t xml:space="preserve"> GCC-CC7-PF-00000-EL-TSP-9001</t>
  </si>
  <si>
    <t>Electrical Requirements for Mechanical Equipment</t>
  </si>
  <si>
    <t>GCC-CC7-PF-00000-EL-TSP-9011</t>
  </si>
  <si>
    <t>Repeated :
- GCC-CC7-PF-00000-EL-TSP-9001 - Electrical Design Basis. Refinery Facilities Power Supply Design Specification;</t>
  </si>
  <si>
    <t xml:space="preserve">Electric Motors and Variable Speed Drive Systems (VSDS) within the mechanical equipment shall meet requirements of the following documents:
- GCC-CC7-PF-00000-EL-TSP-9004 - Electrical Motors Specification;
-GCC-CC7-PF-00000-EL-TSP-9002 – Low Voltage Variable Speed Drives Specification;
</t>
  </si>
  <si>
    <t>Electrical Motors Specification</t>
  </si>
  <si>
    <t>GCC-CC7-PF-00000-EL-TSP-9004</t>
  </si>
  <si>
    <t>VSD design</t>
  </si>
  <si>
    <t>Low Voltage Variable Speed Drives Specification;</t>
  </si>
  <si>
    <t>GCC-CC7-PF-00000-EL-TSP-9002</t>
  </si>
  <si>
    <t>P 13/26</t>
  </si>
  <si>
    <r>
      <t xml:space="preserve">In case of loose supply, that is unassembled, instrumentation, impulse line, cables, air tubes, fittings shall be in the </t>
    </r>
    <r>
      <rPr>
        <b/>
        <sz val="11"/>
        <color theme="1"/>
        <rFont val="Calibri"/>
        <family val="2"/>
        <scheme val="minor"/>
      </rPr>
      <t>Client scope</t>
    </r>
    <r>
      <rPr>
        <sz val="11"/>
        <color theme="1"/>
        <rFont val="Calibri"/>
        <family val="2"/>
        <scheme val="minor"/>
      </rPr>
      <t>. Detailed scope split in this case, will be provided in the Subcontractor engineering design documentation (such as P&amp;IDs, etc.) ../..</t>
    </r>
  </si>
  <si>
    <t>Specification for design of Distributed Control System (DCS);</t>
  </si>
  <si>
    <t>GCC-CC7-PF-00000-IN-TSP-8007</t>
  </si>
  <si>
    <r>
      <rPr>
        <b/>
        <sz val="11"/>
        <color theme="1"/>
        <rFont val="Calibri"/>
        <family val="2"/>
        <scheme val="minor"/>
      </rPr>
      <t>5. SYSTEM CONTROLS, INSTRUMENTATION AND CONTROL PANEL</t>
    </r>
    <r>
      <rPr>
        <sz val="11"/>
        <color theme="1"/>
        <rFont val="Calibri"/>
        <family val="2"/>
        <scheme val="minor"/>
      </rPr>
      <t xml:space="preserve">
Field Instrumentation and Control System shall comply with the following documents:
- GCC-CC7-PM-00000-PE-PRO-00210 - Safety Integrity Level (SIL) Assignment Procedure;
</t>
    </r>
    <r>
      <rPr>
        <b/>
        <sz val="11"/>
        <color theme="1"/>
        <rFont val="Calibri"/>
        <family val="2"/>
        <scheme val="minor"/>
      </rPr>
      <t>- GCC-CC7-PF-00000-IN-TSP-8007 - Specification for design of Distributed Control System (DCS);</t>
    </r>
    <r>
      <rPr>
        <sz val="11"/>
        <color theme="1"/>
        <rFont val="Calibri"/>
        <family val="2"/>
        <scheme val="minor"/>
      </rPr>
      <t xml:space="preserve">
- GCC-CC7-PF-00000-IN-TSP-8009 - General technical specifications for control system cabinets;
- GCC-CC7-PF-00000-IN-TSP-8010 - Specification for Machine Protection (MPS) and Conditioning Monitoring (CMS) Systems;
- GCC-CC7-PF-00000-IN-TSP-8011 - Instrument Cables Specification;
- GCC-CC7-PF-00000-IN-TSP-8012 - Programmable Logic Controller (PLC) Design Specification
-</t>
    </r>
    <r>
      <rPr>
        <b/>
        <sz val="11"/>
        <color theme="1"/>
        <rFont val="Calibri"/>
        <family val="2"/>
        <scheme val="minor"/>
      </rPr>
      <t xml:space="preserve"> GCC-CC7-PF-00000-IN-TSP-8013 - Instrument Design Specification</t>
    </r>
    <r>
      <rPr>
        <sz val="11"/>
        <color theme="1"/>
        <rFont val="Calibri"/>
        <family val="2"/>
        <scheme val="minor"/>
      </rPr>
      <t xml:space="preserve">;
- GCC-CC7-PM-00000-PE-PRO-00209 - P&amp;IDs Model Development Procedure
</t>
    </r>
  </si>
  <si>
    <t>Suite</t>
  </si>
  <si>
    <t>GCC-CC7-PF-0-IN-TSP-8010 - Specifi-cation for Machine Protection (MPS) and Con-ditioning Monitoring (CMS) Systems</t>
  </si>
  <si>
    <t xml:space="preserve">GCC-CC7-PF-0-IN-TSP-8010 </t>
  </si>
  <si>
    <t>P 14/26</t>
  </si>
  <si>
    <r>
      <t xml:space="preserve">7.2 Steel grade of rolled products, bolts and welding materials shall comply with SP 16.13330.2011
</t>
    </r>
    <r>
      <rPr>
        <b/>
        <sz val="11"/>
        <color theme="1"/>
        <rFont val="Calibri"/>
        <family val="2"/>
        <scheme val="minor"/>
      </rPr>
      <t xml:space="preserve">From Stell spec: </t>
    </r>
    <r>
      <rPr>
        <sz val="11"/>
        <color theme="1"/>
        <rFont val="Calibri"/>
        <family val="2"/>
        <scheme val="minor"/>
      </rPr>
      <t>Materials for structural steel shall be in accordance with SP 16.13330.2011 and GOST 27772-2015. The category of steel grade shall be used in accordance with GOST 27772-2015 and table В.1 of Annex В to SP 16.13330.2017.
As per item 4.2.3 SP 16.13330.2011, the air temperature of the coldest day &amp; night shall be used as ambient air design temperature with probability 0,98.
Use of foreign steel grades is allowed in case they have technical certificates or other approvals of their compliance.
The steel grades below shall be preferable:
For the main bearing structures of buildings and structures: steel grades С255-4, С345-6.
For secondary structures (not bearing): steel grades С255-4, С245-4, С235.</t>
    </r>
  </si>
  <si>
    <r>
      <rPr>
        <b/>
        <sz val="11"/>
        <color theme="1"/>
        <rFont val="Calibri"/>
        <family val="2"/>
        <scheme val="minor"/>
      </rPr>
      <t>7. STEEL STRUCTURES</t>
    </r>
    <r>
      <rPr>
        <sz val="11"/>
        <color theme="1"/>
        <rFont val="Calibri"/>
        <family val="2"/>
        <scheme val="minor"/>
      </rPr>
      <t xml:space="preserve">
In case a foreign Package Unit will be supplied, use of steel structures designed as per the manufacturer’s national standards is allowed.
The following requirements shall be met for design of steel structures for home manufactured Package Units:
</t>
    </r>
    <r>
      <rPr>
        <b/>
        <sz val="11"/>
        <color theme="1"/>
        <rFont val="Calibri"/>
        <family val="2"/>
        <scheme val="minor"/>
      </rPr>
      <t>7.1 Formatting of the detailed design documentation</t>
    </r>
    <r>
      <rPr>
        <sz val="11"/>
        <color theme="1"/>
        <rFont val="Calibri"/>
        <family val="2"/>
        <scheme val="minor"/>
      </rPr>
      <t xml:space="preserve"> shall meet GOST 21.502, GOST 21.1101 and other requirements of the Russian codes for formatting.
Rolled steel shall be applied as per the Russian GOSTs and TUs. For engineering of steel structures, use rolled steel and materials manufactures in Russia and available in the civil market and meeting GOST 27772-2015 Rolled Steel for Civil Structures.../..
7.3 Steel structures shall be designed in accordance with requirements of SP 16.13330.2011, FZ 384 dated 23.12.2009, FZ 123 dated 22.07.2008, FZ 116 dated 21.07.1997 and other Russian codes.
7.4 High criticality level shall be applied for the structures. Criticality-based safety factor is 1,1.
../.. 7.8 Stairs and platforms shall be designed as per the type of series -1.450-3-7-94 в.0,2.
7.9 Platform handrails shall comply with requirements of PBE NP-2001 items 9.3.5 and 2.4 for operating platforms and it.9.3.13 for ladders.
7.12 Steel structures shall be designed considering requirements of PBE NP-2001 Rules for Safe Operation and Labor Safety for Oil Refineries.
</t>
    </r>
  </si>
  <si>
    <r>
      <rPr>
        <b/>
        <sz val="11"/>
        <color theme="1"/>
        <rFont val="Calibri"/>
        <family val="2"/>
        <scheme val="minor"/>
      </rPr>
      <t>As per spec for package unit:</t>
    </r>
    <r>
      <rPr>
        <sz val="11"/>
        <color theme="1"/>
        <rFont val="Calibri"/>
        <family val="2"/>
        <scheme val="minor"/>
      </rPr>
      <t xml:space="preserve">
7.13 Fire resistance rating II shall be assigned to buildings
</t>
    </r>
    <r>
      <rPr>
        <b/>
        <sz val="11"/>
        <color theme="1"/>
        <rFont val="Calibri"/>
        <family val="2"/>
        <scheme val="minor"/>
      </rPr>
      <t xml:space="preserve">As per Civil spec: </t>
    </r>
    <r>
      <rPr>
        <sz val="11"/>
        <color theme="1"/>
        <rFont val="Calibri"/>
        <family val="2"/>
        <scheme val="minor"/>
      </rPr>
      <t xml:space="preserve">
In accordance with paragraph 6.10.5.1 of SP 4.13130.2013, at least fire resistance rating  II shall be assigned for buildings. Fire resistance rating I is assigned for buildings if there are rel-evant requirements in regulatory documents../..
Preferable fireproof materials are as follows: 
 - own protective layer of concrete without addi-tional fire-proofing for reinforced concrete products and structures;
-</t>
    </r>
    <r>
      <rPr>
        <b/>
        <sz val="11"/>
        <color theme="1"/>
        <rFont val="Calibri"/>
        <family val="2"/>
        <scheme val="minor"/>
      </rPr>
      <t xml:space="preserve"> thin-film epoxy-based intumescent fireproof coating for outdoor structural steels</t>
    </r>
    <r>
      <rPr>
        <sz val="11"/>
        <color theme="1"/>
        <rFont val="Calibri"/>
        <family val="2"/>
        <scheme val="minor"/>
      </rPr>
      <t>; ../..</t>
    </r>
  </si>
  <si>
    <t>7.15 For high-criticality buildings and structures, consider the emergency case based on SP 296.1325800.2017 and SP 20.13330.2016.</t>
  </si>
  <si>
    <t>emergency cases</t>
  </si>
  <si>
    <t>Chap. 7.15</t>
  </si>
  <si>
    <t>P 15/26</t>
  </si>
  <si>
    <t>Chap. 7.16</t>
  </si>
  <si>
    <t>7.16 Other requirements for the equipment steel and supporting structures shall comply with requirements of the following documents: 
- General Structural Specification GCC-CC7-PF-00000-SS-TSP-1002.
- Technical Specifications for Supply of Steel Structures GCC-CC7-PF-00000-SS-TSP-1003.</t>
  </si>
  <si>
    <t>Supply of SS</t>
  </si>
  <si>
    <t xml:space="preserve"> Technical Specifications for Supply of Steel Structures</t>
  </si>
  <si>
    <t>As per:  Technical Specifications for Supply of Steel Structures GCC-CC7-PF-00000-SS-TSP-1003.</t>
  </si>
  <si>
    <t>Passport 
Each supplied package shall have a unified technical passport to be formatted as recommended in accordance with OST 26.260.18–2004 Process Units for Gas and Oil Refineries. General Specification. 
The unified passport shall include individual passports for equipment/components of the package units (such as instruments, valves, electric motors, gear boxes, lube oil unit, seal system, pressure vessels, electric heaters, etc.) included to the supply package and pipeline passport in the format provided in the AttachmentМ, С, Т GOST 32569 - 2013.
../..
The package unit passport shall comply  to the requirements of the Technical Regulations of the Customs Union and GOST 2.610 paragraph 8 at the least.</t>
  </si>
  <si>
    <t>Technical passports shall be submitted bilin-gual: in Russian and English.</t>
  </si>
  <si>
    <t xml:space="preserve">Passport </t>
  </si>
  <si>
    <t>Permits</t>
  </si>
  <si>
    <t>Permits
All equipment included in the package shall have a conformity of compliance certification with the existing requirements of procedure manuals existing at the RF territory, and in case no Process Regulations are applicable to the equipment, the Industrial Safety Expertise Opinion shall be provided.
In general case, the equipment shall have certificates (declaration) of compliance with Process Regulations):
- ТR ТS 010/2011 Technical Regulation of the Customs Union On Safety of Machines and Equipment.
- ТR ТS 012/2011 Technical Regulation of the Customs Union On Safety of Equipment to be Operated in Explosion Hazardous Environment.
- ТR ТS 032/2013 Technical Regulation of the Customs Union On Safety of High Pressure Equipment.
- TR ТS 004/2011 Customs Union Technical Regulations for Safety of Low Voltage Equipment.
- TR ТS 020/2011 Technical Regulation of the Customs Union for Electromagnetic Compatibility.
The validity period of the certificates and declarations shall be defined by the Russian authority issuing approvals.
../..</t>
  </si>
  <si>
    <t xml:space="preserve">9. INSPECTION AND TESTING
Each Package Unit shall be subjected to FAT (Factory Acceptance Test) and SAT (Site Acceptance Test). 
</t>
  </si>
  <si>
    <t>Chap. 9</t>
  </si>
  <si>
    <t>P 16/26</t>
  </si>
  <si>
    <t>P 17/26</t>
  </si>
  <si>
    <t xml:space="preserve">../.. For each Package Unit, the Vendor shall make a Quality Assurance and Test Plan. It shall in-clude all the unit equipment: rotating equip-ment, vessels, heat exchangers or Instrumenta-tion. The Client will decide on his own discre-tion which of the tests will be witnessed by the Client itself or its representative../..Inspection and testing requirements are provided in the following documents: 
- Piping Design Specification GCC-CC7-PF-00000-PI-TSP-6002;
- Customer's Specification for the Supply of Pump Units GCC-CC7-PF-00000-RQ-TSP-7002;
- Compressor Equipment Design SpecificationGCC-CC7-PF-00000-RQ-TSP-7003
- Vessels Design Specification GCC-CC7-PF-00000-SQ-TSP-5012.
</t>
  </si>
  <si>
    <t xml:space="preserve">In case the package unit includes  PLC (Pro-grammable Logic Controller ) FATs (Factory Acceptance Test) of the interfaces between the PLC and Integrated Control and Safety System shal be carried out (ICSS) </t>
  </si>
  <si>
    <t>Systems FAT</t>
  </si>
  <si>
    <t>Nameplates</t>
  </si>
  <si>
    <t xml:space="preserve">10. NAMEPLATES OF PACKAGE UNITS
At least the following information shall be included to the nameplate:
../..
Each equipment item shall have the Vendor’s standard nameplate. 
The nameplate shall be made of stainless steel easily readable.
The nameplate of the Package Unit must be securely fastened with stainless steel rivets or continuously welded all over the outside perimeter of the skid.
</t>
  </si>
  <si>
    <t>Chap. 10</t>
  </si>
  <si>
    <t>Documents / Final Doc</t>
  </si>
  <si>
    <t xml:space="preserve">11. DOCUMENTATION
The Vendor shall issue documents to the Client in three stages:
- At the stage of the Technical Proposal review and approval.
- At the stage of the Vendor documents review and approval (after signing the Supply Contract).
- Complete with the equipment at shipping. 
The list of documents to be issued at each stage shall be submitted to the Vendor as a separate document. 
The Vendor documents shall clearly define the scope and battery limits of the supply.
The Vendor shall submit operational and maintenance documents sufficiently detailed to understand the operation and maintenance rules for each equipment item.
Composition and principles of preparation of the operational documents for Package Unit as per GOST 2.601-2013 and GOST 2.610-2006.
</t>
  </si>
  <si>
    <r>
      <rPr>
        <b/>
        <sz val="11"/>
        <color theme="1"/>
        <rFont val="Calibri"/>
        <family val="2"/>
        <scheme val="minor"/>
      </rPr>
      <t>12. TRAINING</t>
    </r>
    <r>
      <rPr>
        <sz val="11"/>
        <color theme="1"/>
        <rFont val="Calibri"/>
        <family val="2"/>
        <scheme val="minor"/>
      </rPr>
      <t xml:space="preserve">
The Vendor shall manage sufficient training of Client’s personnel to proper operation of the Package Unit.
The Vendor shall provide training manuals that are specifically developed for the particular training, not typical guidelines.
The need for training and the requirements for training the Client's personnel shall be specified when entering the contract, depending on the type of the supplied package unit. 
</t>
    </r>
  </si>
  <si>
    <t>Chap. 14</t>
  </si>
  <si>
    <r>
      <rPr>
        <b/>
        <sz val="11"/>
        <color theme="1"/>
        <rFont val="Calibri"/>
        <family val="2"/>
        <scheme val="minor"/>
      </rPr>
      <t>13. PREPARATION FOR SHIPMENT
General Provisions</t>
    </r>
    <r>
      <rPr>
        <sz val="11"/>
        <color theme="1"/>
        <rFont val="Calibri"/>
        <family val="2"/>
        <scheme val="minor"/>
      </rPr>
      <t xml:space="preserve">
The Vendor shall be solely responsible for providing adequate preparation of equipment for shipment to site and for the storage (conditions) of the equipment at the warehouse or lay down area at site.
The Vendor shall prepare a Shipping and Storage Specification, which address among other, but is not limited to:
- allowable equipment sizes related to the chosen shipping method;
- lifting and transport of equipment starting at the Vendors’ premises all the way to the point of unloading of the equipment at the job site. (Note: equipment lifting operations at the construction stage shall be performed based on a separate lifting operations plan);
- package details;
- preparation for long-terms storage;
- site inspection frequency and preventive measures to be taken during the equipment storage and installation period (prior to start-up and commissioning operations) on site.
Preparation for shipment may be inspected and rejected by the Client or its representative.
</t>
    </r>
  </si>
  <si>
    <t>24 months</t>
  </si>
  <si>
    <t>Surfaces of the equipment made of corrosion-resistant materials shall be protected against rust from the inner side. It shall be ensured by plac-ing moisture-absorbing materials inside the equipment or use of nitrogen blanket. The nitro-gen-filled equipment shall be provided with warning signs close to every nozzle connection and sight glass. The warning signs shall be in Russian and English</t>
  </si>
  <si>
    <t>P 19/26</t>
  </si>
  <si>
    <t>../.. Separate, loose, and spare parts shall be com-pletely boxed. All assemblies and parts packed in boxes shall be secured to avoid damages during transportation../.. 
Shipping of large-sized parts without packaging provided they are protected against damage is allowed ../..</t>
  </si>
  <si>
    <t>Federal Industrial Safety Norms and Regulations "Safety Regulations for Oil and Gas Refineries".</t>
  </si>
  <si>
    <t>PE-TSP-7001</t>
  </si>
  <si>
    <t>?</t>
  </si>
  <si>
    <t xml:space="preserve"> Technical Regulation of the Customs Union On Safety of Machines and Equipment</t>
  </si>
  <si>
    <t>ТR ТS 010/2011</t>
  </si>
  <si>
    <t>Technical Regulation of the Customs Union On Safety of Equipment to be Operated in Explosion Hazardous Environment</t>
  </si>
  <si>
    <t xml:space="preserve">ТR ТS 012/2011 </t>
  </si>
  <si>
    <t>Technical Regulation of the Customs Union On Safety of High Pressure Equipment</t>
  </si>
  <si>
    <t xml:space="preserve">ТR ТS 032/2013 </t>
  </si>
  <si>
    <t>Technical Regulation of the Customs Union On Safety of Low Voltage Equipment</t>
  </si>
  <si>
    <t xml:space="preserve">ТR ТS 004/2011 </t>
  </si>
  <si>
    <t>Technical Regulation of the Customs Union for Electromagnetic Compatibility</t>
  </si>
  <si>
    <t xml:space="preserve">TR ТS 020/2011 </t>
  </si>
  <si>
    <t xml:space="preserve"> Provisions for Units of Measurement Allowed for Use in the Russian Federation dated October, 31, 2009</t>
  </si>
  <si>
    <t>RF Government Decree No.879</t>
  </si>
  <si>
    <t xml:space="preserve"> "General Explosion Safety Regulations for Explosion and Fire Hazardous Chemical, Petrochemical and Oil Refining Production Facilities</t>
  </si>
  <si>
    <t>Federal Industrial Safety Norms and Regulations</t>
  </si>
  <si>
    <t>Electrical Installations Code</t>
  </si>
  <si>
    <t xml:space="preserve">EIC (PUE) </t>
  </si>
  <si>
    <t>OST 26.260.18-2004</t>
  </si>
  <si>
    <t>Process Regulation for Safety of Buildings and Structures</t>
  </si>
  <si>
    <t xml:space="preserve">FZ No.384 dated 23.12.2009 </t>
  </si>
  <si>
    <t xml:space="preserve"> Process Regulation for Fire Safety Requirements</t>
  </si>
  <si>
    <t>FZ No.123 dated 22.07.2008</t>
  </si>
  <si>
    <t>GOST 24379.0-2012</t>
  </si>
  <si>
    <t xml:space="preserve">GOST 24379.1-2012 </t>
  </si>
  <si>
    <t xml:space="preserve">Guidebook for Design of Anchor Bolts for Civil Structures and Equipment </t>
  </si>
  <si>
    <t>(to SNiP 2.09.03-85).</t>
  </si>
  <si>
    <t xml:space="preserve"> Rules for Preparation of Project and Detailed Design Documentation for Steel Structures</t>
  </si>
  <si>
    <t xml:space="preserve"> System of Project Design Documentation for Construction. Rules for Preparation of Detailed Design Documentation for Steel Structures</t>
  </si>
  <si>
    <t>GOST 21.502</t>
  </si>
  <si>
    <t>System of Project Design Documentation for Construction. Principle Requirements for Project and Detailed Design Documentation</t>
  </si>
  <si>
    <t xml:space="preserve">GOST 21.1101 </t>
  </si>
  <si>
    <t xml:space="preserve"> Rolled Products for Civil Structures</t>
  </si>
  <si>
    <t>GOST 27772-2015</t>
  </si>
  <si>
    <t xml:space="preserve"> Corrosion Protection of Civil Structures</t>
  </si>
  <si>
    <t>SP 28.13330-2012</t>
  </si>
  <si>
    <t xml:space="preserve"> Unified System of Corrosion and Ageing Protection. Paint Coating. Preparation of Steel Surfaces for Painting</t>
  </si>
  <si>
    <t>GOST 9.402-2004</t>
  </si>
  <si>
    <t xml:space="preserve"> Buildings and Structures. Special Effects</t>
  </si>
  <si>
    <t>SP 296.1325800.2017</t>
  </si>
  <si>
    <t>. Unified System of Design Documentation. Operational Documents</t>
  </si>
  <si>
    <t>GOST 2.601-2013</t>
  </si>
  <si>
    <t>. Unified System of Design Documentation. Rules for Preparation of Operational Documents</t>
  </si>
  <si>
    <t>GOST 2.610-2006</t>
  </si>
  <si>
    <t>http://www.normacs.ru/Doclist/doc/11J25.html</t>
  </si>
  <si>
    <t xml:space="preserve">Mechanical_Equipment_Design_Criteria </t>
  </si>
  <si>
    <t>The equipment will form part of the Gas Chemical Complex within Ethane-Containing Gas Processing Complex (GCC within EGPC), to be located in the Town of Kingisepp, Leningrad Region, in the Russian Federation.  
Note : près de Saint-Petersburg</t>
  </si>
  <si>
    <t>P 6/38</t>
  </si>
  <si>
    <t>Cette spec définit le requirement (genre spec du package)</t>
  </si>
  <si>
    <t>The assigned equipment service life is 20 years. 
The assigned pipeline service life is 20 years</t>
  </si>
  <si>
    <t>Chap. 2.2</t>
  </si>
  <si>
    <t xml:space="preserve">Equipment mean time before failure 4 years </t>
  </si>
  <si>
    <t>P 7/38</t>
  </si>
  <si>
    <r>
      <rPr>
        <b/>
        <sz val="11"/>
        <color theme="1"/>
        <rFont val="Calibri"/>
        <family val="2"/>
        <scheme val="minor"/>
      </rPr>
      <t xml:space="preserve">Minimum Requirements for Shipment Preparation Activities </t>
    </r>
    <r>
      <rPr>
        <sz val="11"/>
        <color theme="1"/>
        <rFont val="Calibri"/>
        <family val="2"/>
        <scheme val="minor"/>
      </rPr>
      <t xml:space="preserve">
The Vendor shall ensure protection of the equipment against mechanical damages and atmospheric corrosion, if it shall be transported and stored outdoor on a service area before installation </t>
    </r>
    <r>
      <rPr>
        <b/>
        <sz val="14"/>
        <color theme="1"/>
        <rFont val="Calibri"/>
        <family val="2"/>
        <scheme val="minor"/>
      </rPr>
      <t>at least 24 months</t>
    </r>
    <r>
      <rPr>
        <sz val="11"/>
        <color theme="1"/>
        <rFont val="Calibri"/>
        <family val="2"/>
        <scheme val="minor"/>
      </rPr>
      <t>. 
The protection shall ensure the equipment storage i</t>
    </r>
    <r>
      <rPr>
        <b/>
        <sz val="11"/>
        <color theme="1"/>
        <rFont val="Calibri"/>
        <family val="2"/>
        <scheme val="minor"/>
      </rPr>
      <t>n snow / ice at ambient temperature from the absolute minimum</t>
    </r>
    <r>
      <rPr>
        <sz val="11"/>
        <color theme="1"/>
        <rFont val="Calibri"/>
        <family val="2"/>
        <scheme val="minor"/>
      </rPr>
      <t xml:space="preserve"> for the construction area.
If the equipment shall be preserved for long-term storage, the Vendor shall submit the</t>
    </r>
    <r>
      <rPr>
        <b/>
        <sz val="11"/>
        <color theme="1"/>
        <rFont val="Calibri"/>
        <family val="2"/>
        <scheme val="minor"/>
      </rPr>
      <t xml:space="preserve"> Depreservation Instructions to the Client.</t>
    </r>
    <r>
      <rPr>
        <sz val="11"/>
        <color theme="1"/>
        <rFont val="Calibri"/>
        <family val="2"/>
        <scheme val="minor"/>
      </rPr>
      <t xml:space="preserve">
../..</t>
    </r>
  </si>
  <si>
    <t>The warranty service life for vessels is at least 18 months from the date of the vessel commissioning, but maximum 24 months after shipment from the manufacturer's plant.</t>
  </si>
  <si>
    <t>Terminologie</t>
  </si>
  <si>
    <t>suite pour normes et stds</t>
  </si>
  <si>
    <t>P 8/38</t>
  </si>
  <si>
    <t>Chap. 2.3</t>
  </si>
  <si>
    <t>Autre exemple pour la spec de design: les TR CU uniquement…</t>
  </si>
  <si>
    <t xml:space="preserve">Technical Regulation of the Customs Union On Packaging Safety </t>
  </si>
  <si>
    <t xml:space="preserve">ТR CU 005/2011 </t>
  </si>
  <si>
    <t>(ТR CU)</t>
  </si>
  <si>
    <t>ТR CU 016/2011</t>
  </si>
  <si>
    <t>Technical Regulation of the Customs Union On Safety of Equipment Running on Gaseous Fuel</t>
  </si>
  <si>
    <t>ME-TSP-5006</t>
  </si>
  <si>
    <r>
      <t xml:space="preserve">(a) RF federal laws, RF presidential decrees, RF governmental regulations, Technical regulations of Customs Union, Eurasian Economic Union and RF. 
(b) Normative legal acts of federal executive 
authorities, registered in Ministry of Justice of RF, approved PSTS
(c) Documents in the field of standardization 
applied on an optional basis:    
- Russian standards and codes of practice, 
companies’ standards if stated in contractual 
documents;  
- International standards, regional standards and standards of foreign countries, registered in the federal information fund of technical regulations and standards of the Russian Federation, whichever is the stricter
 (d) GCC-CC7 series specifications  enumerated in the contractual document.
</t>
    </r>
    <r>
      <rPr>
        <b/>
        <sz val="11"/>
        <color theme="1"/>
        <rFont val="Calibri"/>
        <family val="2"/>
        <scheme val="minor"/>
      </rPr>
      <t>If there is an evident contradiction among the 
documents mentioned above, the Contractor 
shall immediately notify the Client</t>
    </r>
    <r>
      <rPr>
        <sz val="11"/>
        <color theme="1"/>
        <rFont val="Calibri"/>
        <family val="2"/>
        <scheme val="minor"/>
      </rPr>
      <t xml:space="preserve"> ../.. </t>
    </r>
  </si>
  <si>
    <t>Pour une fois c'est un peu plus clairement ecrit dans cette spec :</t>
  </si>
  <si>
    <r>
      <t xml:space="preserve">standards, mandatory as well as those used on optional basis, is indicated in Attachment </t>
    </r>
    <r>
      <rPr>
        <b/>
        <sz val="12"/>
        <color theme="1"/>
        <rFont val="Calibri"/>
        <family val="2"/>
        <scheme val="minor"/>
      </rPr>
      <t>[HOLD.</t>
    </r>
    <r>
      <rPr>
        <sz val="11"/>
        <color theme="1"/>
        <rFont val="Calibri"/>
        <family val="2"/>
        <scheme val="minor"/>
      </rPr>
      <t xml:space="preserve"> To be specified in course of Contract preparation] to contract “List of regulatory documents of the Russian Federation”. 
The list of the Russian Codes and Regulations in 
Attachment </t>
    </r>
    <r>
      <rPr>
        <b/>
        <sz val="12"/>
        <color theme="1"/>
        <rFont val="Calibri"/>
        <family val="2"/>
        <scheme val="minor"/>
      </rPr>
      <t>[HOLD.</t>
    </r>
    <r>
      <rPr>
        <sz val="11"/>
        <color theme="1"/>
        <rFont val="Calibri"/>
        <family val="2"/>
        <scheme val="minor"/>
      </rPr>
      <t xml:space="preserve"> To be specified in course of Contract preparation] and in associated project technical requirements (specifications) may not be complete. However Contractor shall acquire the complete set of the applicable Russian Codes and Regulations</t>
    </r>
  </si>
  <si>
    <t xml:space="preserve">The Contractor shall obtain an approval from the Client before finalization of the selection of the equipment Design Code or Design Specification as specified herein. </t>
  </si>
  <si>
    <t>Chap. 2.7</t>
  </si>
  <si>
    <t>P 12/38</t>
  </si>
  <si>
    <t>FMECA</t>
  </si>
  <si>
    <t>../.. The FMECA procedure shall be implemented and its results shall be used for each piece of the rotating equipment (unit) (pumps, compressors) at the design stage. 
1. Conduct of the Failure Mode, Effects and Critical Analysis 
(FMECA) 
2. Development of the maintenance and repair program based on the FMECA results 
3. Development of the Operation Manual with due regard for the maintenance and repair program ../..</t>
  </si>
  <si>
    <t>suite..</t>
  </si>
  <si>
    <r>
      <t>Regulation of the potential to determine the intervals and scope of the equipment technical inspection using the</t>
    </r>
    <r>
      <rPr>
        <b/>
        <sz val="12"/>
        <color theme="1"/>
        <rFont val="Calibri"/>
        <family val="2"/>
        <scheme val="minor"/>
      </rPr>
      <t xml:space="preserve"> Risk-Based Inspections Methodology (RBI)</t>
    </r>
    <r>
      <rPr>
        <sz val="11"/>
        <color theme="1"/>
        <rFont val="Calibri"/>
        <family val="2"/>
        <scheme val="minor"/>
      </rPr>
      <t xml:space="preserve"> in the Operation Manual 
(Instruction) for the static equipment (vessels, pipelines, tanks) at the design stage</t>
    </r>
  </si>
  <si>
    <t>Operation Manuals for pressure vessels shall contain the Section “Technical Inspection, Industrial Safety Expert Review, Technical Diagnostics of Pressure Equipment”, which includes the following requirements: ../..</t>
  </si>
  <si>
    <t>P 13/38</t>
  </si>
  <si>
    <t>If at least one of the following is true: 
- delivered in parts 
- hydraulic tests were not carried out at the Manufacturer's plant
-  no preservation
- preservation terms or conditions are failed; 
../..  the vessel shall be hydraulically tested on-site.</t>
  </si>
  <si>
    <t>Suite !</t>
  </si>
  <si>
    <t>The minimum scope of the initial vessel inspection includes:  
a) visual and dimensional inspection from the vessel inner (if accessible) and outer surfaces;  
b) wall thickness inspection of the vessel elements operated under corrosive services; 
c) inspection of conformance of the vessel assembly, process piping, equipping with the instrumentation and safety devices with the design and engineering documentation requirements;  
d) hydraulic testing. 
Other non-destructive inspection methods, including the acoustic emission method may be used during the technical inspection of vessels. ../..</t>
  </si>
  <si>
    <r>
      <t>../.. Inspection intermittence and scope: 
It is recommended to use API 580 and API 581 Risk-Based Inspection documents for vessel inspection planning and determining the inspection timing and technology. The next scheduled inspections shall be determined only by trained personnel u</t>
    </r>
    <r>
      <rPr>
        <b/>
        <sz val="12"/>
        <color theme="1"/>
        <rFont val="Calibri"/>
        <family val="2"/>
        <scheme val="minor"/>
      </rPr>
      <t xml:space="preserve">sing RBI  software </t>
    </r>
    <r>
      <rPr>
        <sz val="11"/>
        <color theme="1"/>
        <rFont val="Calibri"/>
        <family val="2"/>
        <scheme val="minor"/>
      </rPr>
      <t>(for example, Credo information 
system)</t>
    </r>
  </si>
  <si>
    <t>P 14/38</t>
  </si>
  <si>
    <t>same in TSP-5006</t>
  </si>
  <si>
    <t>P 15/38</t>
  </si>
  <si>
    <t>Equipment shall be adequately protected against fire in accordance with the Russian code “Fire Protection Systems. 
 Fireproofing of Protected Facilities” documents No. SP 2.13130.2012, SP 4.13130.2012</t>
  </si>
  <si>
    <t>Ep Corrosion
Corrosion Allowance</t>
  </si>
  <si>
    <t xml:space="preserve">Corrosion/Erosion allowance (based on the 20 year service life of the equipment) shall be added to all parts of the equipment in contact with corrosive environments. </t>
  </si>
  <si>
    <t>The Contractor shall make available on site a base plate template for installation in the concrete for each vessel that is supported by a support skirt.</t>
  </si>
  <si>
    <t>Base plates for loose items</t>
  </si>
  <si>
    <t>P 16/38</t>
  </si>
  <si>
    <r>
      <t>../..</t>
    </r>
    <r>
      <rPr>
        <strike/>
        <sz val="11"/>
        <color theme="1"/>
        <rFont val="Calibri"/>
        <family val="2"/>
        <scheme val="minor"/>
      </rPr>
      <t xml:space="preserve"> Valve</t>
    </r>
    <r>
      <rPr>
        <sz val="11"/>
        <color theme="1"/>
        <rFont val="Calibri"/>
        <family val="2"/>
        <scheme val="minor"/>
      </rPr>
      <t>s(Vessels !) and Heat Exchangers shall comply with 
the requirements of the doc. No. GCC-CC7-PF-
00000-SQ-TSР-5012 “Design Specifications for 
Vessels and Apparatuses ../..</t>
    </r>
  </si>
  <si>
    <t xml:space="preserve">Shell and Tube Heat-exchangers construction </t>
  </si>
  <si>
    <t>Shell and Tube Heat-exchangers construction shall be in accordance with GOST 31842-2012, TEMA and API 660.   The class to be used shall be proposed by the Contractor and submitted to the Client for approval</t>
  </si>
  <si>
    <t xml:space="preserve">Air-cooled heat- exchangers shall be designed in accordance with GOST R 51364-99 (ISО 6758-80) Air coolers. General specification, GOST 25822-83, “Vessels and apparatuses;  Air cooled heat exchangers;  Norms and methods of strength calculation” and “Air-Cooled Heat Exchangers for General 
Refinery Services” Nr: API 661 or  “Petroleum, petrochemical and natural gas industries;  Aircooled heat exchangers” document Nr: ISO 13706“. </t>
  </si>
  <si>
    <t>P 17/38</t>
  </si>
  <si>
    <t>Plate and Frame</t>
  </si>
  <si>
    <t xml:space="preserve">Plate and Frame heat-exchangers shall be designed in accordance with “Plate Heat Exchangers for General Refinery Services” document Nr: API 662 or “Petroleum, petrochemical and natural gas industries;  Plate type heat exchangers — Part 1: Plate-and-frame heat exchangers” document Nr: ISO 
15547-1. </t>
  </si>
  <si>
    <t>Aluminum plate-fin type heat-exchangers shall be desi,gned in accordance with “The Standards of the Brazed Aluminum Plate-Fin Heat-Exchanger Manufacturers Association” document No. Alpema Standards</t>
  </si>
  <si>
    <t>fin type</t>
  </si>
  <si>
    <t xml:space="preserve">Expansion joints shall be constructed in accordance with EJMA.  Thin walled expansion joints shall not be used for TEMA R heat 
exchangers </t>
  </si>
  <si>
    <t>Expansion joints</t>
  </si>
  <si>
    <t xml:space="preserve">Tube-to-tube sheet connection shall be provided 
as per GOST R 55601-2013, API 660 </t>
  </si>
  <si>
    <t>Standards ou autres details design</t>
  </si>
  <si>
    <t>besoins process</t>
  </si>
  <si>
    <t>existent ou pas ?</t>
  </si>
  <si>
    <t xml:space="preserve">Materials used for vessels and heat exchangers shall meet the requirements of the Russian Federal Standards and the requirements as listed in GOST 34347-2017. Materials as per ASME K97II, Part D, ASTM shall be used. The quality and characteristics of the materials shall be confirmed with adequate certificates. </t>
  </si>
  <si>
    <t>P 18/38</t>
  </si>
  <si>
    <t>The 3.1, 3.2 material certificates in accordance with EN 10204 / ISO 10474. (ref. to para 7 of the document No. GCC-CC7-PF-00000-SQ-TSР-5012 “Design Specifications for Vessels and Apparatuses”) shall be provided for the equipment manufactured outside the Russian Federation</t>
  </si>
  <si>
    <t>corrosion rates</t>
  </si>
  <si>
    <t xml:space="preserve">The material design of vessels shall be selected so that the corrosion rate of the metal of the main elements does not exceed 0.1 mm / year and the service life of vessels shall be at least 20 years.  </t>
  </si>
  <si>
    <t>corrosion resistance</t>
  </si>
  <si>
    <t>ICC</t>
  </si>
  <si>
    <t>Origines</t>
  </si>
  <si>
    <t>Material design selected according to foreign standards shall comply with STO 00220368-025-2018</t>
  </si>
  <si>
    <t>P 19/38</t>
  </si>
  <si>
    <t>MDMT</t>
  </si>
  <si>
    <t>Materials as selected for Equipment shall have a Minimum Design Temperature (MDT) depending on the operation conditions.</t>
  </si>
  <si>
    <t>When selecting materials for vessels, the walls of which can take on the ambient temperature being under pressure during operation, proceed from the absolutely minimum temperature of minus 39 ° С; the average temperature of the coldest day with probability of 0.92 for other vessels shall be minus 26°С.</t>
  </si>
  <si>
    <t xml:space="preserve">H2S and H2 Service </t>
  </si>
  <si>
    <t>../..
When operating vessels in the wet H2S service, regulatory documents STO 00220575.063-2005, ST TsKBA 052-2008, requirements of NACE MR0103 / MR0175, GOST 34233.10-2017 and 
GOST R 53678-2009, part 2 shall be used</t>
  </si>
  <si>
    <t>WPSs, PQRs, and WPQs shall conform to the requirements of GOST 34347-2017 or Section IX of the ASME B&amp;PV Code and to the 
requirements of this specification.</t>
  </si>
  <si>
    <t>Chap. 3.5</t>
  </si>
  <si>
    <t>P 20/38</t>
  </si>
  <si>
    <t>Prior to commencement of the work which includes welding (manufacture, assembly etc.) the following activities shall be performed:  
Welding techniques / Welding equipment / Welding materials as applied inside the Russian Federation shall be certified in NAKS (National agency for control and welding) certification 
centers in accordance with the requirements of RD 03-615- 03 /03-614-03 /03-613-03</t>
  </si>
  <si>
    <t>Material</t>
  </si>
  <si>
    <t>Controls</t>
  </si>
  <si>
    <t>Weld Joint &amp; Surface Preparation</t>
  </si>
  <si>
    <t>Double-welded butt joints are preferred and shall be used wherever feasible. Pressure boundary welds shall be full penetration unless otherwise specified/approved by the Client.</t>
  </si>
  <si>
    <t xml:space="preserve">Welding materials shall comply with OST 26.260.3-2001, as well as STO 00220368-025-2018. </t>
  </si>
  <si>
    <t>Heat Treatment</t>
  </si>
  <si>
    <t xml:space="preserve">Requirements for the heat treatment of vessel elements shall not be lower than those specified in para. 5.11 of GOST 34347-2017 and STO 00220368-019-2017. </t>
  </si>
  <si>
    <t>P 21/38</t>
  </si>
  <si>
    <t>preservation extension</t>
  </si>
  <si>
    <r>
      <t>Allowable equipment noise level shall be adopted as per GOST R 52797.1-2007 (ISO 11690-1: 1996) “Acoustics. 
 Recommended practice for the design of lownoise workplaces containing machinery", GOST 30691-2001 (ISO 
4871-96)“ Noise of Machines”, GOST 12.1.003-2014“ Occupational safety standards system.  Noise. General safety requirements." 
../..
The equivalent sound level at workplaces shall not exceed</t>
    </r>
    <r>
      <rPr>
        <b/>
        <sz val="14"/>
        <color theme="1"/>
        <rFont val="Calibri"/>
        <family val="2"/>
        <scheme val="minor"/>
      </rPr>
      <t xml:space="preserve"> 80 dBA </t>
    </r>
    <r>
      <rPr>
        <sz val="11"/>
        <color theme="1"/>
        <rFont val="Calibri"/>
        <family val="2"/>
        <scheme val="minor"/>
      </rPr>
      <t>in accordance with Appendix 6 SanPin 2.2.4.3359-16 “Sanitary and epidemiological requirements for physical factors at workplaces".</t>
    </r>
  </si>
  <si>
    <t>Chap. 2.5
Chap. 3.7</t>
  </si>
  <si>
    <t>P11/38
P 22/38</t>
  </si>
  <si>
    <t>same in TSP-5006 chap 3.8</t>
  </si>
  <si>
    <t>Colours</t>
  </si>
  <si>
    <t>../.. Impact factor of 1.5 on the lifting weight for slings and 2 for attachment welds</t>
  </si>
  <si>
    <t>P 23/38</t>
  </si>
  <si>
    <t>Vessels shall be designed to be lifted as 1 (one) piece in fully dressed condition (including any insulation, ladders and platforms, agitator, motors, etc.). This includes the design of any body flanges, skirt, shell, etc. In those cases where designing for fully dressed condition is not possible or not practical the Contractor may propose to first lift the vessel prior  to dressing it. In this case the Contractor shall take into account full scaffolding which shall be supported by the vessel. This shall be subject to approval by Owner, since it impacts the 
construction cost estimate.</t>
  </si>
  <si>
    <t>fully dressed condition</t>
  </si>
  <si>
    <t>P 24/38</t>
  </si>
  <si>
    <t>same in TSP-5006 chap 4</t>
  </si>
  <si>
    <t>same in TSP-5006 chap 5 (When indicated on PIDs !)</t>
  </si>
  <si>
    <t>Modules dimensions</t>
  </si>
  <si>
    <t xml:space="preserve">../.. The Vendor shall identify the need for addition-al protection of the equipment against the envi-ronment, such as (semi-open) shelters, winterization measurements etc. 
The Vendor shall provide additional protection measures against the ambient conditions ../..
</t>
  </si>
  <si>
    <t>Passport  (suite)</t>
  </si>
  <si>
    <t>Winterization</t>
  </si>
  <si>
    <t>Winterization Philosophy</t>
  </si>
  <si>
    <t>P 25/38</t>
  </si>
  <si>
    <t>Attention dans chap. Elec !</t>
  </si>
  <si>
    <t>../.. installation of bearing temperature detectors. (ref. para. 5.4.9 FNiPPB "General explosion safety regulations ../..
All process centrifugal,- and reciprocating compressors and centrifugal pumps with a driver name plate rating of 650 kW and larger shall be provided with a Machine Protection and Condition Monitoring Systems (MPS &amp; CMS). ../..</t>
  </si>
  <si>
    <t>Rated Power…</t>
  </si>
  <si>
    <t>(VSDS) as part of a mechanical package shall comply with the requirements of "Electrical Requirements for Mechanical Equipment" document No. GCC-CC7-PF-00000-EL-TSP-9011:</t>
  </si>
  <si>
    <t>All instruments as part of a mechanical package shall comply with the requirements of the specifications as listed below:  Table 5. Project Specifications Instrumentation</t>
  </si>
  <si>
    <t>All listed spec are OK</t>
  </si>
  <si>
    <t>Flange design</t>
  </si>
  <si>
    <t>Flanges as part of mechanical equipment shall be in accordance with the requirements as specified in GOST 33259-2015, GOST 28759.1-90 – 28759.8-90, ASME B16.5 / B16.47 series 
A. All flange material shall be forged, unless otherwise agreed</t>
  </si>
  <si>
    <t>Chap. 9.1</t>
  </si>
  <si>
    <t>P 26/38</t>
  </si>
  <si>
    <t>suite !</t>
  </si>
  <si>
    <t>P 27/38</t>
  </si>
  <si>
    <t>Chap. 9.2</t>
  </si>
  <si>
    <t>Voir les spec indiquées</t>
  </si>
  <si>
    <r>
      <t xml:space="preserve">All mechanical equipment, valves and instruments shall be delivered including a Technical Passport of an approved form as defined in the Russian Federation regulations, and Certificates of Conformity. The passports shall include GA drawings and detail drawings, calculations, as applicable to each type of equipment or instrument. Technical Passports 
shall be supplied for: 
  Passport format shall be in accordance with the relevant GOST. - Vessels;- Heat exchangers, air coolers, filters; - Rotating equipment;  - Instrumentation;  - Safety valves.
Technical Passports shall be bilingual:  Russian and English  
Passports shall be supplied in a pre- approved layout and index as indicated in relevant technical regulations and GOST </t>
    </r>
    <r>
      <rPr>
        <b/>
        <sz val="14"/>
        <color theme="1"/>
        <rFont val="Calibri"/>
        <family val="2"/>
        <scheme val="minor"/>
      </rPr>
      <t>ЕSKD</t>
    </r>
    <r>
      <rPr>
        <sz val="11"/>
        <color theme="1"/>
        <rFont val="Calibri"/>
        <family val="2"/>
        <scheme val="minor"/>
      </rPr>
      <t xml:space="preserve"> (Unified system for engineering documentation). </t>
    </r>
  </si>
  <si>
    <t>Chap. 10.1</t>
  </si>
  <si>
    <t>P 28/38</t>
  </si>
  <si>
    <t>quand importante pour le scope</t>
  </si>
  <si>
    <t>Doc control Process</t>
  </si>
  <si>
    <t>For the issuance and approval of drawings and specification the Contractor shall strictly adhere to the approved document control process, as specified in the document review procedure as defined in the Project Procedure as part of the contract between the Client and the selected Contractor.</t>
  </si>
  <si>
    <t>Chap. 10.2</t>
  </si>
  <si>
    <t xml:space="preserve">Criticality Rating (CR) program </t>
  </si>
  <si>
    <t>Chap. 11.1</t>
  </si>
  <si>
    <t>P 29/38</t>
  </si>
  <si>
    <t>same in TSP-5006 chap 11.2</t>
  </si>
  <si>
    <t>Inspection and test for PVV</t>
  </si>
  <si>
    <t>Vibrations suite</t>
  </si>
  <si>
    <t xml:space="preserve">same in TSP-5006
+ chap 11.3 pour tests
</t>
  </si>
  <si>
    <t>Same/Similar to 5006 Chapt. 12</t>
  </si>
  <si>
    <t xml:space="preserve">Painting Equipment and Piping Specification” </t>
  </si>
  <si>
    <t>document No. BBC-CC7-00000-ENG-TSP-
5007</t>
  </si>
  <si>
    <t>../.. 
Equipment made from stainless steel which shall be shipped by sea freight shall be boxed in water tight packing or shall be 
painted in accordance with the requirements of “Painting Equipment and Piping Specification” document No. BBC-CC7-00000-ENG-TSP-5007
../..</t>
  </si>
  <si>
    <t>P 33/38</t>
  </si>
  <si>
    <t>Chap. 12.2</t>
  </si>
  <si>
    <t>Table 1. Project Specifications and Standard 
Drawings 
13. List of Regulatory Documents referred to in these Specification</t>
  </si>
  <si>
    <t>Il y a deux tableaux de spec appicable et le chapitre 13</t>
  </si>
  <si>
    <t>Chap. 2.4
Chap 8
Chap. 13</t>
  </si>
  <si>
    <t>P 9/38
P 26
P 33/38</t>
  </si>
  <si>
    <t>PB 03-584-03</t>
  </si>
  <si>
    <t xml:space="preserve">ГОСТ Р 51364-99 Аппараты воздушного охлаждения. Общие технические условия </t>
  </si>
  <si>
    <t xml:space="preserve">GOST R 51364-99 Air cooled heat exchangers. General Technical Specification” </t>
  </si>
  <si>
    <t>ПБ 03-584-03 Правила проектирования, изготовления и приемки сосудов и аппаратов 
стальных сварных/</t>
  </si>
  <si>
    <t>“Rules for Design, Fabrication and Acceptance of Welded Steel Vessels” 
document No. PB 03-584-03.</t>
  </si>
  <si>
    <t>GOST R 51364-99</t>
  </si>
  <si>
    <t xml:space="preserve">ГОСТ Р 52797.1-2007 Акустика. Рекомендуемые методы проектирования малошумных рабочих мест производственных помещений. Часть 1. Принципы защиты от шума </t>
  </si>
  <si>
    <t xml:space="preserve">GOST R 52797.1-2007 Acoustics. Recommended practice for the design of low-noise workplaces containing machinery. Part 1: Noise protection principles. </t>
  </si>
  <si>
    <t>GOST R 52797.1-2007</t>
  </si>
  <si>
    <t xml:space="preserve">ГОСТ Р 53678-2009 Нефтяная и газовая промышленность. Материалы для применения в средах, содержащих сероводород, при добыче нефти и газа. Часть 2. Углеродистые и низколегированные стали, стойкие к растрескиванию, и применение чугунов </t>
  </si>
  <si>
    <t xml:space="preserve">GOST R 53678-2009 Petroleum and natural gas industries.   Materials for use in H2S-containing environments in oil and gas production.   Part 2: Cracking-resistant carbon and low-alloy steels and the use of cast irons </t>
  </si>
  <si>
    <t xml:space="preserve">ГОСТ Р 55601-2013 Аппараты теплообменные и аппараты воздушного охлаждения. Крепление труб в трубных решетках. Общие технические требования </t>
  </si>
  <si>
    <t xml:space="preserve">GOST R 55601-2013 Heat exchangers and air cooling units.  Tube expanding in tube-sheets.   General technical requirements. </t>
  </si>
  <si>
    <t xml:space="preserve">GOST R 53678-2009 </t>
  </si>
  <si>
    <t>GOST R 55601-2013</t>
  </si>
  <si>
    <t xml:space="preserve">ГОСТ 6134-2007 Насосы динамические. Методы испытаний </t>
  </si>
  <si>
    <t xml:space="preserve">GOST 6134-2007 Dynamic pumps. Test methods </t>
  </si>
  <si>
    <t>GOST 12.1.003-2014</t>
  </si>
  <si>
    <t>GOST 6032-2017</t>
  </si>
  <si>
    <t>GOST 6134-2007</t>
  </si>
  <si>
    <t xml:space="preserve">GOST 6032-2017 Corrosion-resistant steels and alloys. Test methods for resistance to inter-crystalline corrosion </t>
  </si>
  <si>
    <t xml:space="preserve">ГОСТ 6032-2017 Стали и сплавы коррозионно-стойкие. Методы испытаний на стойкость против межкристаллитной коррозии </t>
  </si>
  <si>
    <t xml:space="preserve"> GOST 12.1.003-2014 “Occupational safety standards system. Noise. General safety requirements. </t>
  </si>
  <si>
    <t>ГОСТ 12.1.003-2014 «Система стандартов безопасности труда. Шум. Общие требования безопасности</t>
  </si>
  <si>
    <t xml:space="preserve">ГОСТ 17335-79 Насосы объемные. Правила приемки и методы испытаний </t>
  </si>
  <si>
    <t xml:space="preserve">GOST 17335-79 Volumetric pumps. Acceptance rules and test methods </t>
  </si>
  <si>
    <t xml:space="preserve">GOST 25822-83 Vessels. Air cooling units. Standards and methods for strength calculation </t>
  </si>
  <si>
    <t xml:space="preserve">ГОСТ 30691-2001 Шум машин. Заявление и контроль значений шумовых характеристик </t>
  </si>
  <si>
    <t xml:space="preserve"> GOST 30691-2001 Noise of machines. Declaration and verification of noise emission values. </t>
  </si>
  <si>
    <t xml:space="preserve">ГОСТ 31838-2012 Аппараты колонные. Технические требования </t>
  </si>
  <si>
    <t xml:space="preserve">GOST 31838-2012 Columns. Technical requirements </t>
  </si>
  <si>
    <t xml:space="preserve">GOST 33259-2015 Flanges of valves, fittings and pipelines for nominal pressure up to PN 250 </t>
  </si>
  <si>
    <t xml:space="preserve">ГОСТ 34347-2017 Сосуды и аппараты стальные сварные. Общие технические условия </t>
  </si>
  <si>
    <t xml:space="preserve">GOST 34347-2017 Steel welded vessels. General specifications </t>
  </si>
  <si>
    <t xml:space="preserve">ОСТ 26.260.3-2001 Сварка в химическом машиностроении. Основные положения </t>
  </si>
  <si>
    <t xml:space="preserve">OST 26.260.3-2001 Welding in chemical engineering. General Provisions </t>
  </si>
  <si>
    <t xml:space="preserve">SP 2.13130.2012 Fire protection systems. Fire-proofing of protection facilities </t>
  </si>
  <si>
    <t xml:space="preserve">СП 20.13330.2016 Нагрузки и воздействия </t>
  </si>
  <si>
    <t xml:space="preserve">СТО 00220368-019-2017 Термическая обработка нефтехимической аппаратуры и ее элементов </t>
  </si>
  <si>
    <t xml:space="preserve">STO 00220368-019-2017 Heat treatment of petrochemical equipment and components </t>
  </si>
  <si>
    <t xml:space="preserve">ASME VIII Правила конструирования сосудов давления </t>
  </si>
  <si>
    <t xml:space="preserve">ASME VIII Boiler and Pressure Vessel Code  </t>
  </si>
  <si>
    <t xml:space="preserve">ASME II часть Д Характеристики материалов </t>
  </si>
  <si>
    <t xml:space="preserve">ASME II part D Materials  </t>
  </si>
  <si>
    <t xml:space="preserve">ASTM Требования по испытаниям и материалам </t>
  </si>
  <si>
    <t xml:space="preserve">ASTM Testing and Materials. </t>
  </si>
  <si>
    <t xml:space="preserve">API STD 618-2007 Reciprocating Compressors for Petroleum, Chemical, and Gas Industry Services </t>
  </si>
  <si>
    <t xml:space="preserve">API STD 660-2015 . Кожухотрубчатые теплообменники. </t>
  </si>
  <si>
    <t xml:space="preserve">API STD 660-2015 . Shell-and-Tube Heat Exchanges. </t>
  </si>
  <si>
    <t xml:space="preserve">API STD 662-2006 Пластинчатые теплообменники для нефтеперерабатывающих предприятий </t>
  </si>
  <si>
    <t xml:space="preserve">API STD 662-2006 Plate Heat Exchangers for General Refinery Services </t>
  </si>
  <si>
    <t xml:space="preserve">ASME B16.47-2017  Фланцы стальные больших диаметров от NPS 26 до NPS 60 </t>
  </si>
  <si>
    <t xml:space="preserve">ASME B16.47-2017 Large Diameter Steel Flanges NPS 26 Through NPS 60 Metric/Inch Standard </t>
  </si>
  <si>
    <t xml:space="preserve">ASME B16.5-2017 Pipe flanges and flanged fittings. NPS 1/2 through nps 24. Metric/ inch standard </t>
  </si>
  <si>
    <t xml:space="preserve">DIN EN 10204-2005 Металлические изделия. </t>
  </si>
  <si>
    <t xml:space="preserve">DIN EN 10204-2005 Metallic products. Types of inspection documents </t>
  </si>
  <si>
    <t xml:space="preserve">ISO 10474-2013 Сталь и стальные изделия. Документы о контроле </t>
  </si>
  <si>
    <t xml:space="preserve">ISO 10474-2013 Steel and steel products - Inspection documents </t>
  </si>
  <si>
    <t xml:space="preserve">ISO 13706-2000 Petroleum, petrochemical and natural gas industries Air-cooled heat exchangers </t>
  </si>
  <si>
    <t xml:space="preserve">STANDARDS OF EXPANSION JOINT MANUFACTURERS ASSOCIATION (EJMA) </t>
  </si>
  <si>
    <t xml:space="preserve">СТАНДАРТЫ АССОЦИАЦИИ ПРОИЗВОДИТЕЛЕЙ КОМПЕНСАТОРОВ (EJMA)  </t>
  </si>
  <si>
    <t xml:space="preserve">STANDARDS OF THE TUBULAR EXCHANGER MANUFACTURERS ASSOCIATION </t>
  </si>
  <si>
    <t xml:space="preserve">ГОСТ 25822-83 Сосуды и аппараты. Аппараты воздушного охлаждения. Нормы и методы расчета на прочность </t>
  </si>
  <si>
    <t xml:space="preserve">ГОСТ 28759.1-90 – 28759.8-90 Фланцы сосудов и аппаратов и прокладки к ним. Конструкция и размеры. Технические требования  </t>
  </si>
  <si>
    <t xml:space="preserve">GOST 28759.1-90 - 28759.8-90 Flanges of vessels and equipment and their gaskets. Design and dimensions. Technical requirements </t>
  </si>
  <si>
    <t xml:space="preserve">ГОСТ 31842-2012 Нефтяная и газовая промышленность. Теплообменники кожухотрубчатые. Технические требования  </t>
  </si>
  <si>
    <t xml:space="preserve">GOST 31842-2012 Petroleum and natural gas industries. Shell-and-tube heat eхchangers. Technical requirements </t>
  </si>
  <si>
    <t xml:space="preserve">ГОСТ 33259-2015 Фланцы арматуры, соединительных частей и трубопроводов на номинальное давление до PN 250  </t>
  </si>
  <si>
    <t xml:space="preserve">ГОСТ 34233.10-2017 Сосуды и аппараты. Нормы и методы расчета на прочность. Сосуды и аппараты, работающие с сероводородными средами </t>
  </si>
  <si>
    <t xml:space="preserve">GOST 34233.10-2017 Vessels and apparatus. Norms and methods of strength calculation. Vessels and apparatus involving hydrogen sulphide media </t>
  </si>
  <si>
    <t xml:space="preserve">ГОСТ 34283-2017 Сосуды и аппараты. Нормы и методы расчета на прочность при ветровых, сейсмических и других внешних нагрузках </t>
  </si>
  <si>
    <t xml:space="preserve">GOST 34283-2017 Vessels. Norms and methods of strength calculation under wind, seismic and other external loads </t>
  </si>
  <si>
    <t xml:space="preserve">СП 2.13130.2012 Системы противопожарной защиты. Обеспечение огнестойкости объектов защиты </t>
  </si>
  <si>
    <t xml:space="preserve">СТО 00220368-025-2018 Каталог аналогов импортных и отечественных основных и сварочных материалов, применяемых при изготовлении сосудов, аппаратов и трубопроводов, подведомственных Ростехнадзору </t>
  </si>
  <si>
    <t xml:space="preserve">STO 00220368-025-2018 Catalogue of equivalent imported and domestic basic and welding materials used in the manufacture of vessels, equipment and pipelines supervised by Rostekhnadzor </t>
  </si>
  <si>
    <t xml:space="preserve">СТО 00220575.063-2005 Сосуды, аппараты и блоки технологических установок подготовки и переработки нефти и газа, содержащих сероводород и вызывающих коррозионное растрескивание. Технические требования </t>
  </si>
  <si>
    <t xml:space="preserve">STO 00220575.063-2005 Vessels, equipment and process units of oil and gas treatment and refining plants operating in hydrogen sulphide environment and causing corrosion cracking. Technical requirements </t>
  </si>
  <si>
    <t xml:space="preserve">СТ ЦКБА 052-2008 Арматура трубопроводная. Требования к материалам арматуры, применяемой для сероводородсодержащих сред </t>
  </si>
  <si>
    <t xml:space="preserve">ST TsKBA 052-2008 Pipeline valves.  Requirements for materials of valves used for hydrogen sulphide services. </t>
  </si>
  <si>
    <t xml:space="preserve">РД 03-613-03 Порядок применения сварочных материалов при изготовлении, монтаже, ремонте и реконструкции технических устройств для опасных производственных объектов </t>
  </si>
  <si>
    <t xml:space="preserve">RD 03-613-03 Welding materials application procedure at manufacture, installation, repair and reconstruction of technical devices for hazardous production facilities  </t>
  </si>
  <si>
    <t xml:space="preserve">РД 03-614-03 Порядок применения сварочного оборудования при изготовлении, монтаже, ремонте и реконструкции технических устройств для опасных производственных объектов </t>
  </si>
  <si>
    <t xml:space="preserve">RD 03-614-03 Welding equipment usage procedure at manufacture, installation, repair and reconstruction of technical devices for hazardous production facilities </t>
  </si>
  <si>
    <t xml:space="preserve">РД 03-615-03 Порядок применения сварочных технологий при изготовлении, монтаже, ремонте и реконструкции технических устройств для опасных производственных объектов </t>
  </si>
  <si>
    <t xml:space="preserve">RD 03-615-03 Welding equipment usage procedure at manufacture, installation, repair and reconstruction of technical devices for hazardous production facilities </t>
  </si>
  <si>
    <t xml:space="preserve">СанПин 2.2.4.3359-16 Санитарно-эпидемиологические требования к физическим факторам на рабочих местах.  </t>
  </si>
  <si>
    <t xml:space="preserve">SanPin 2.2.4.3359-16 Sanitary and epidemiological requirements for physical factors in the workplace. </t>
  </si>
  <si>
    <t xml:space="preserve">ALPEMA STANDARDS-2018 СТАНДАРТЫ АССОЦИАЦИИ ПРОИЗВОДИТЕЛЕЙ АЛЮМИНИЕВЫХ ПЛАСТИНЧАТО-РЕБРИСТЫХ ТЕПЛООБМЕННИКОВ   </t>
  </si>
  <si>
    <t xml:space="preserve">ALPEMA STANDARDS-2018 THE STANDARDS OF THE BRAZED ALUMINIUM PLATE-FIN HEAT EXCHANGER MANUFACTURERS’ ASSOCIATION </t>
  </si>
  <si>
    <t xml:space="preserve">ASTM A262-2015 Стандартные методики выявления склонности к межкристаллитной коррозии аустенитных нержавеющих сталей </t>
  </si>
  <si>
    <t xml:space="preserve">ASTM A262-2015 Standard Practices for Detecting Susceptibility to Intergranular Attack in Austenitic Stainless Steels </t>
  </si>
  <si>
    <t xml:space="preserve">API STD 618-2007 Поршневые компрессоры для нефтяной, химической и газовой промышленности </t>
  </si>
  <si>
    <t xml:space="preserve">API STD 661-2013 Нефтяная, нефтехимическая и газовая промышленность. Теплообменники с воздушным охлаждением </t>
  </si>
  <si>
    <t xml:space="preserve">API STD 661-2013 Petroleum, Petrochemical, and Natural Gas Industries-Air-cooled Heat Exchangers </t>
  </si>
  <si>
    <t xml:space="preserve">ASME B16.5-2017  Фланцы трубы и фланцевые фитинги. Номинальные размеры трубы от 1/2 до 24. Стандарты в метрах и дюймах </t>
  </si>
  <si>
    <t xml:space="preserve">ISO 3651-1-1998 "Определение стойкости к межкристаллитной коррозии нержавеющих сталей. Часть 1. Аустенитные и ферритно-аустенитные (двухфазные) нержавеющие стали. Коррозионные испытания в азотной кислоте путем определения потери массы (испытания по Хью)" </t>
  </si>
  <si>
    <t xml:space="preserve">ISO 3651-1-1998 Determination of Resistance to Intergranular Corrosion of Stainless Steels - Part 1:Austenitic and Ferritic-Austenitic (Duplex) Stainless Steels - Corrosion Test in Nitric Acid Medium by Measurement of Loss in Mass (Huey Test) </t>
  </si>
  <si>
    <t xml:space="preserve">ISO 3651-2-1998 "Определение стойкости к межкристаллитной коррозии нержавеющих сталей. Часть 2. Ферритные, аустенитные и ферритно-аустенитные (двухфазные) нержавеющие стали. Коррозионные испытания в средах, содержащих серную кислоту. </t>
  </si>
  <si>
    <t xml:space="preserve">ISO 3651-2-1998 Determination of Resistance to Intergranular Corrosion of Stainless Steels - Part 2: Ferritic, Austenitic and Ferritic-Austenitic (Duplex) Stainless Steels - Corrosion Test in Media Containing Sulfuric Acid </t>
  </si>
  <si>
    <t xml:space="preserve">ISO 13706-2000 Нефтяная, нефтехимическая и газовая промышленность. Теплообменники с воздушным охлаждением </t>
  </si>
  <si>
    <t xml:space="preserve">ISO 15547-1-2016 Нефтяная, нефтехимическая и газовая промышленность. Теплообменники пластинчатого типа. Часть 1: Пластинчатые и рамочные теплообменники </t>
  </si>
  <si>
    <t xml:space="preserve">ISO 15547-1-2016  Petroleum and natural gas industries. Plate-type heat exchangers. Part 1. Plate-and-frame heat exchangers </t>
  </si>
  <si>
    <t xml:space="preserve">NACE MR0103-2012 Материалы, стойкие к растрескиванию под напряжением в сульфидосодержащей среде, в агрессивных средах при переработке нефти </t>
  </si>
  <si>
    <t xml:space="preserve">NACE MR0103-2012 Materials Resistant to Sulfide Stress Cracking in Corrosive Petroleum Refining Environments. </t>
  </si>
  <si>
    <t xml:space="preserve">NACE MR0175 Материалы для использования в средах, содержащих сероводород, при нефте- и газодобыче </t>
  </si>
  <si>
    <t xml:space="preserve">NACE MR0175 Petroleum, petrochemical and natural gas industries. Materials for use in H2S-containing environments in oil and gas production. </t>
  </si>
  <si>
    <t xml:space="preserve">(TEMA) СТАНДАРТЫ АССОЦИАЦИИ ПРЕДПРИЯТИЙ ПО ПРОИЗВОДСТВУ ТРУБЧАТЫХ ТЕПЛООБМЕННИКОВ (TEMA)  </t>
  </si>
  <si>
    <t xml:space="preserve">PSTS_Development_Specifications </t>
  </si>
  <si>
    <t>GCC-CC7-PF-00000-FF-TSP-3008</t>
  </si>
  <si>
    <t>P 4/13</t>
  </si>
  <si>
    <t>Dossier PGCSPS à faire par le constructeur pour gérer la sécurité autour de la nouvelle construction (cela impose une série de documents à compléter pour satisfaire ce suivi sécurité comme en France avec le PPSPS et le coordonateur SPS)</t>
  </si>
  <si>
    <t>PSTS are Technical Specifications related to the  
safety of capital construction facilities including 
(as applied to a specific capital construction 
facility) some safety requirements reflecting 
special aspects of engineering surveys, design, 
construction, dismantling (demolition) of a 
capital construction facility, and also deviations 
from the established requirements in addition to 
the established or missing regulatory technical 
requirements.  
../.. EMERCOM est l'agence Russe qui suit ces dossiers</t>
  </si>
  <si>
    <t xml:space="preserve">Operating_and_Maintenance_Philosophy </t>
  </si>
  <si>
    <t>GCC-CC7-PF-00000-OP-TSP-5003</t>
  </si>
  <si>
    <t>Chap. 3.1.3</t>
  </si>
  <si>
    <t>P 8/15</t>
  </si>
  <si>
    <t>General…</t>
  </si>
  <si>
    <t>same in TSP-5003 chap 3.1.4</t>
  </si>
  <si>
    <r>
      <rPr>
        <b/>
        <sz val="11"/>
        <color theme="1"/>
        <rFont val="Calibri"/>
        <family val="2"/>
        <scheme val="minor"/>
      </rPr>
      <t>14. SPARE PARTS</t>
    </r>
    <r>
      <rPr>
        <sz val="11"/>
        <color theme="1"/>
        <rFont val="Calibri"/>
        <family val="2"/>
        <scheme val="minor"/>
      </rPr>
      <t xml:space="preserve">
Before ordering equipment, the Vendor shall inform which spare parts required for uninterrupted service shall be recommended for the scope of supply indicated in the Requisition. The Vendor shall obtain the Client approval for the list of spare parts.
The equipment Vendor shall ensure spare parts for individual testing, start-up, complex testing and warranty service period. 
The final list of spare parts shall be item-wise including manufacturers and descriptions.
Spare parts shall be prepared for long-term storage. The number of spare parts shall be indicated in pieces avoiding units of account such as kit, set, percent.</t>
    </r>
  </si>
  <si>
    <t>Same/Similar to 5003 Chapt. 4.1</t>
  </si>
  <si>
    <t>same in TSP-5003 chap 4.2</t>
  </si>
  <si>
    <t>8,000 hours per year</t>
  </si>
  <si>
    <t>Opération annuelle moyenne</t>
  </si>
  <si>
    <t>Chap. 4.3</t>
  </si>
  <si>
    <t>P 9/15</t>
  </si>
  <si>
    <t xml:space="preserve">Plot plan </t>
  </si>
  <si>
    <t xml:space="preserve">Plant Safety </t>
  </si>
  <si>
    <t>Plant Access</t>
  </si>
  <si>
    <t xml:space="preserve">Unit Access </t>
  </si>
  <si>
    <t>Safety escape routes: Escape routes shall be provided both inside the process units and in the OSBL area to allow people to reach a safe area. Details on the escape routes are provided in the specification “HSE Protection Philosophy” Doc. № GCC-CC7-PF-00000-HS-TSP-3007 A site fence will be installed along the GCC perimeter to prevent access by unauthorized persons or animals. Details are provided in the specification “Access Control and Security Alarm System” Doc. № GCC-CC7-PF-00000-SS-TSP-1003. 
Gas and fire detectors will be installed throughout the facility. Details are provided in the specification “HSE Protection Philosophy” Doc. № GCC-CC7-PF-00000-HS-TSP-3007. 
Civil defence shelter will be provided at the site of EGPC GCC.</t>
  </si>
  <si>
    <t>The main access point to the facility by vehicle road will be on the south-west side of the site. There also will be an access point on the east side by railway.</t>
  </si>
  <si>
    <t xml:space="preserve">The main perimeter roads are accessible to all personnel. Complex ISBL roads will be limited to personnel that have the authority to access a specific process unit. </t>
  </si>
  <si>
    <t>Chap. 5.1</t>
  </si>
  <si>
    <t>P 10/15</t>
  </si>
  <si>
    <t>Chap. 5.3</t>
  </si>
  <si>
    <t>Chap. 5.2</t>
  </si>
  <si>
    <t>General</t>
  </si>
  <si>
    <t>refer to dedicated chapter:
6.0 ETHANE CRACKING UNITS
7.0 LINEAR ALFA OLEFINS UNITS
8.0 POLYETHYLENE PRODUCTION UNITS (HDPE, LLDPE, mLLDPE) 
9.0 UTILITIES, INFRASTRUCTURE AND OFF-SITES</t>
  </si>
  <si>
    <t>Chap. 6 to 9</t>
  </si>
  <si>
    <t>P 12/15</t>
  </si>
  <si>
    <t>START-UP AND SHUTDOWN</t>
  </si>
  <si>
    <t>P 14/15</t>
  </si>
  <si>
    <t xml:space="preserve">Process_Design_Criteria </t>
  </si>
  <si>
    <t>GCC-CC7-PF-00000-PC-TSP-5004</t>
  </si>
  <si>
    <t>СОКРАЩЕНИЯ И АББРЕВИАТУРЫ</t>
  </si>
  <si>
    <t>Abbreviation</t>
  </si>
  <si>
    <t>Аббревиатура</t>
  </si>
  <si>
    <t>API</t>
  </si>
  <si>
    <t>ASME</t>
  </si>
  <si>
    <t>Стандарт ASME</t>
  </si>
  <si>
    <t>BAT</t>
  </si>
  <si>
    <t>BDEP</t>
  </si>
  <si>
    <t>BEDD</t>
  </si>
  <si>
    <t>ECU</t>
  </si>
  <si>
    <t>ESD</t>
  </si>
  <si>
    <t>ПАЗ</t>
  </si>
  <si>
    <t>FEED</t>
  </si>
  <si>
    <t>FRP</t>
  </si>
  <si>
    <t>GCC</t>
  </si>
  <si>
    <t>ГПЗ</t>
  </si>
  <si>
    <t>HDPE</t>
  </si>
  <si>
    <t>ПЭВП</t>
  </si>
  <si>
    <t>HETP</t>
  </si>
  <si>
    <t>IFD</t>
  </si>
  <si>
    <t>IFR</t>
  </si>
  <si>
    <t>ISBL</t>
  </si>
  <si>
    <t>kta</t>
  </si>
  <si>
    <t>тыс. т/год</t>
  </si>
  <si>
    <t>LPG</t>
  </si>
  <si>
    <t>СУГ</t>
  </si>
  <si>
    <t>LLDPE</t>
  </si>
  <si>
    <t>MAWP</t>
  </si>
  <si>
    <t>МРТМ</t>
  </si>
  <si>
    <t>MDT</t>
  </si>
  <si>
    <t>MoC</t>
  </si>
  <si>
    <t>MinOT</t>
  </si>
  <si>
    <t>МинРТ</t>
  </si>
  <si>
    <t>MOP</t>
  </si>
  <si>
    <t>MPД</t>
  </si>
  <si>
    <t>MOT</t>
  </si>
  <si>
    <t>MаксРТ</t>
  </si>
  <si>
    <t>NPSH</t>
  </si>
  <si>
    <t>NPSHr</t>
  </si>
  <si>
    <t>ABBREVIATIONS AND ACRONYMS</t>
  </si>
  <si>
    <t>Meaning</t>
  </si>
  <si>
    <t>Значение</t>
  </si>
  <si>
    <t>American Petroleum Institute</t>
  </si>
  <si>
    <t>Американский нефтяной институт</t>
  </si>
  <si>
    <t>American Society of Mechanical Engineers</t>
  </si>
  <si>
    <r>
      <t>Американское общество инженеров-механиков</t>
    </r>
    <r>
      <rPr>
        <b/>
        <sz val="10.5"/>
        <color theme="1"/>
        <rFont val="Times New Roman"/>
        <family val="1"/>
      </rPr>
      <t xml:space="preserve"> </t>
    </r>
  </si>
  <si>
    <t>Best Available Technology</t>
  </si>
  <si>
    <t>Наилучшая имеющаяся технология</t>
  </si>
  <si>
    <t>Basic Engineering Design Package</t>
  </si>
  <si>
    <t>Базовый пакет проектной документации</t>
  </si>
  <si>
    <t>Basic Engineering and Design Data</t>
  </si>
  <si>
    <t>Основные исходные данные для проектирования</t>
  </si>
  <si>
    <t>Ethylene Cracker Unit</t>
  </si>
  <si>
    <t>Установка этиленового крекинга (пиролиз)</t>
  </si>
  <si>
    <t>Emergency Shutdown</t>
  </si>
  <si>
    <t>Противоаварийная защита</t>
  </si>
  <si>
    <t>Front End Engineering and Design</t>
  </si>
  <si>
    <t>Этап подготовки проектной документации</t>
  </si>
  <si>
    <t>Fiberglass Reinforced Plastic</t>
  </si>
  <si>
    <t>Пластик, армированный стекловолокном</t>
  </si>
  <si>
    <t xml:space="preserve">Gas Chemical Complex </t>
  </si>
  <si>
    <t>Газоперерабатывающий завод</t>
  </si>
  <si>
    <t>High Density Polyethylene</t>
  </si>
  <si>
    <t>Установка производства полиэтилена высокой плотности (ПЭВП)</t>
  </si>
  <si>
    <t>Height Equivalent to a Theoretical Plate</t>
  </si>
  <si>
    <t>Высота, эквивалентная теоретической тарелке</t>
  </si>
  <si>
    <t>Issued for Design</t>
  </si>
  <si>
    <t>Выпущено для проектирования</t>
  </si>
  <si>
    <t>Issued for Review</t>
  </si>
  <si>
    <t>Выпущено для рассмотрения</t>
  </si>
  <si>
    <t>Inside Battery Limits</t>
  </si>
  <si>
    <t>В пределах границ установки</t>
  </si>
  <si>
    <t>Kilotons (1,000 tons) per Annum</t>
  </si>
  <si>
    <t>тысяч тонн в год</t>
  </si>
  <si>
    <t>Liquefied Petroleum Gas</t>
  </si>
  <si>
    <t>Сжиженный углеводородный газ</t>
  </si>
  <si>
    <t>Linear Low Density Polyethylene</t>
  </si>
  <si>
    <t>Линейный полиэтилен низкой плотности</t>
  </si>
  <si>
    <t>Maximum Allowable Working Pressure</t>
  </si>
  <si>
    <t>Максимальное допустимое рабочее давление</t>
  </si>
  <si>
    <t>Metal Design Temperature</t>
  </si>
  <si>
    <t>Расчетная температура металла</t>
  </si>
  <si>
    <t>Minimum Design Metal Temperature</t>
  </si>
  <si>
    <t>Минимальная расчетная температура металла</t>
  </si>
  <si>
    <t>Material of Construction</t>
  </si>
  <si>
    <t>Конструкционный материал</t>
  </si>
  <si>
    <t>Minimum Operating Temperature</t>
  </si>
  <si>
    <t>Минимальная рабочая температура</t>
  </si>
  <si>
    <t>Maximum Operating Pressure</t>
  </si>
  <si>
    <t>Максимальное рабочее давление</t>
  </si>
  <si>
    <t>Maximum Operating Temperature</t>
  </si>
  <si>
    <t>Максимальная рабочая температура</t>
  </si>
  <si>
    <t>Net Positive Suction Head</t>
  </si>
  <si>
    <t>Геометрическая высота всасывания насоса</t>
  </si>
  <si>
    <t>Net Positive Suction Head Required</t>
  </si>
  <si>
    <t>Необходимый кавитационный запас</t>
  </si>
  <si>
    <t>NPSHa</t>
  </si>
  <si>
    <t>ДКЗ</t>
  </si>
  <si>
    <t>OSBL</t>
  </si>
  <si>
    <t>P&amp;ID</t>
  </si>
  <si>
    <t>МТС</t>
  </si>
  <si>
    <t>PFD</t>
  </si>
  <si>
    <t>ПТС</t>
  </si>
  <si>
    <t>rpm</t>
  </si>
  <si>
    <t>об/мин</t>
  </si>
  <si>
    <t>TEMA</t>
  </si>
  <si>
    <t>TSO</t>
  </si>
  <si>
    <t>ГО</t>
  </si>
  <si>
    <t>UI&amp;O</t>
  </si>
  <si>
    <t>ОЗХ</t>
  </si>
  <si>
    <t>GCC EGPC</t>
  </si>
  <si>
    <t>ГХК КПЭК</t>
  </si>
  <si>
    <t>Net Positive Suction Head Available</t>
  </si>
  <si>
    <t>Доступный кавитационный запас</t>
  </si>
  <si>
    <t>Outside Battery Limits</t>
  </si>
  <si>
    <t>За пределами границ установки</t>
  </si>
  <si>
    <t>Piping &amp; Instrumentation Diagram</t>
  </si>
  <si>
    <t>Монтажно-технологическая схема</t>
  </si>
  <si>
    <t>Process Flow Diagram</t>
  </si>
  <si>
    <t>Принципиальная технологическая схема</t>
  </si>
  <si>
    <t>Rotations per minute</t>
  </si>
  <si>
    <t>оборотов в минуту</t>
  </si>
  <si>
    <t>Tubular Exchangers Manufacturers Association</t>
  </si>
  <si>
    <t>Ассоциация изготовителей трубчатых теплообменников</t>
  </si>
  <si>
    <t>Tight Shut-off</t>
  </si>
  <si>
    <t>Герметичная отсечка</t>
  </si>
  <si>
    <t>Utilities Infrastructure &amp; Offsites</t>
  </si>
  <si>
    <t>Объекты общезаводского хозяйства</t>
  </si>
  <si>
    <t>Gas Chemical Complex within Ethane-rich Gas Processing Complex</t>
  </si>
  <si>
    <t>Газохимический комплекс в составе Комплекса переработки этансодержащего газа</t>
  </si>
  <si>
    <t>From TSP 5004</t>
  </si>
  <si>
    <t>Поскольку этот термин не имеет общепринятого определения, следует избегать использования термина Стандартный (S) в определении потоков</t>
  </si>
  <si>
    <r>
      <t>пара/газа. Необходимо указать фактические объемные расходы пара/газа (в м</t>
    </r>
    <r>
      <rPr>
        <sz val="6.5"/>
        <color theme="1"/>
        <rFont val="Times New Roman"/>
        <family val="1"/>
      </rPr>
      <t>3</t>
    </r>
    <r>
      <rPr>
        <sz val="10.5"/>
        <color theme="1"/>
        <rFont val="Times New Roman"/>
        <family val="1"/>
      </rPr>
      <t>/ч или л/с), а также соответствующие давления и температуры. В случаях,</t>
    </r>
  </si>
  <si>
    <t>когда применительно к потокам пара/газа используется термин «нормальный», нормальные условия определяются при 0°C и давлении 0,101325МПа (абс.).</t>
  </si>
  <si>
    <r>
      <t>The use of the term Standard (S) in defining steam/gas flows shall be avoided since this term does not have a universally accepted definition. Actual volumetric steam/gas flows (in m</t>
    </r>
    <r>
      <rPr>
        <sz val="6.5"/>
        <color theme="1"/>
        <rFont val="Times New Roman"/>
        <family val="1"/>
      </rPr>
      <t>3</t>
    </r>
    <r>
      <rPr>
        <sz val="10.5"/>
        <color theme="1"/>
        <rFont val="Times New Roman"/>
        <family val="1"/>
      </rPr>
      <t>/hr or l/s) shall be specified, as well as respective pressures and temperatures. In cases where Normal is applied to steam/gas flows, Normal conditions are defined at 0°C and 0.101325MPaa.</t>
    </r>
  </si>
  <si>
    <t>Единицы измерения, применяемые в данном проекте, приведены ниже.</t>
  </si>
  <si>
    <t>The measurement units used in this project are given below.</t>
  </si>
  <si>
    <t>Единицы/Units</t>
  </si>
  <si>
    <t>СИ/SI</t>
  </si>
  <si>
    <t>Примечание/Note</t>
  </si>
  <si>
    <t>Температура/Temperature</t>
  </si>
  <si>
    <t xml:space="preserve">°C </t>
  </si>
  <si>
    <t>Градусов Цельсия/ degree Celsius</t>
  </si>
  <si>
    <t>Давление (избыточное) / Pressure (excess)</t>
  </si>
  <si>
    <t>(МПа)/ (MPa)</t>
  </si>
  <si>
    <t>кПа (избыточное) / kPa (excess)</t>
  </si>
  <si>
    <t>Вакуум/ Vacuum</t>
  </si>
  <si>
    <t xml:space="preserve">(кПа)/ (kPa) </t>
  </si>
  <si>
    <t>Па (aбсолютное)/ Pa (absolute)</t>
  </si>
  <si>
    <t>Объем / Volume</t>
  </si>
  <si>
    <r>
      <t>м</t>
    </r>
    <r>
      <rPr>
        <vertAlign val="superscript"/>
        <sz val="10"/>
        <color theme="1"/>
        <rFont val="Times New Roman"/>
        <family val="1"/>
      </rPr>
      <t xml:space="preserve">3 </t>
    </r>
    <r>
      <rPr>
        <sz val="10"/>
        <color theme="1"/>
        <rFont val="Times New Roman"/>
        <family val="1"/>
      </rPr>
      <t>/ m</t>
    </r>
    <r>
      <rPr>
        <vertAlign val="superscript"/>
        <sz val="10"/>
        <color theme="1"/>
        <rFont val="Times New Roman"/>
        <family val="1"/>
      </rPr>
      <t>3</t>
    </r>
  </si>
  <si>
    <t>Кубический метр/ Cubic meter</t>
  </si>
  <si>
    <t>Длина / Length</t>
  </si>
  <si>
    <t>м /m</t>
  </si>
  <si>
    <t xml:space="preserve">Метр/ metre </t>
  </si>
  <si>
    <t>Точная длина/ Exact length</t>
  </si>
  <si>
    <t xml:space="preserve">мм/mm </t>
  </si>
  <si>
    <t>Миллиметр/ Millimetre</t>
  </si>
  <si>
    <t>Диаметры трубопроводов, фланцев, штуцеров/ Diameters of pipelines, flanges, fittings</t>
  </si>
  <si>
    <t>мм/mm</t>
  </si>
  <si>
    <t>Вес или масса/ Weight or mass</t>
  </si>
  <si>
    <t>Кг/ kg</t>
  </si>
  <si>
    <t>Килограмм/ Kilogram</t>
  </si>
  <si>
    <t>Массовый расход/ Mass flow</t>
  </si>
  <si>
    <t>кг/ч, т/ч, kg / h, t / h</t>
  </si>
  <si>
    <t>Килограмм в Час, Тонн в Час / Kilogram per Hour, Tons per Hour,</t>
  </si>
  <si>
    <t>Расхода пара/ Steam consumption</t>
  </si>
  <si>
    <t>Расход жидкости / Fluid flow</t>
  </si>
  <si>
    <r>
      <t>м</t>
    </r>
    <r>
      <rPr>
        <vertAlign val="superscript"/>
        <sz val="10"/>
        <color theme="1"/>
        <rFont val="Times New Roman"/>
        <family val="1"/>
      </rPr>
      <t>3</t>
    </r>
    <r>
      <rPr>
        <sz val="10"/>
        <color theme="1"/>
        <rFont val="Times New Roman"/>
        <family val="1"/>
      </rPr>
      <t>/ч, кг/ч, m3 / h, kg / h</t>
    </r>
  </si>
  <si>
    <t>Метр Кубический в Час, Килограмм в Час/ Meter Cubic per Hour, Kilogram per Hour</t>
  </si>
  <si>
    <t>Расход газа / Gas consumption</t>
  </si>
  <si>
    <r>
      <t>нм</t>
    </r>
    <r>
      <rPr>
        <vertAlign val="superscript"/>
        <sz val="10"/>
        <color theme="1"/>
        <rFont val="Times New Roman"/>
        <family val="1"/>
      </rPr>
      <t>3</t>
    </r>
    <r>
      <rPr>
        <sz val="10"/>
        <color theme="1"/>
        <rFont val="Times New Roman"/>
        <family val="1"/>
      </rPr>
      <t>/ч, nm</t>
    </r>
    <r>
      <rPr>
        <vertAlign val="superscript"/>
        <sz val="10"/>
        <color theme="1"/>
        <rFont val="Times New Roman"/>
        <family val="1"/>
      </rPr>
      <t>3</t>
    </r>
    <r>
      <rPr>
        <sz val="10"/>
        <color theme="1"/>
        <rFont val="Times New Roman"/>
        <family val="1"/>
      </rPr>
      <t xml:space="preserve"> / h</t>
    </r>
  </si>
  <si>
    <t>Метр Кубический в Час, приведенный к нормальным условиям (0 °С и 101,325 кПа)/ Cubic meter per hour reduced to normal conditions (0 ° C and 101.325 kPa)</t>
  </si>
  <si>
    <t>Концентрация жидкости / Fluid concentration</t>
  </si>
  <si>
    <t>% масс. или  ppм масс/ % mass or ppm mass</t>
  </si>
  <si>
    <t>Процент массовый / Mass percentage</t>
  </si>
  <si>
    <t>Концентрация газа/ Gas concentration</t>
  </si>
  <si>
    <t>% мол. или ppм мол./ % mol or ppm mol</t>
  </si>
  <si>
    <t>Процент Мольный / Percent Molar</t>
  </si>
  <si>
    <t>Скорость/ Speed</t>
  </si>
  <si>
    <t>м/c , m/s</t>
  </si>
  <si>
    <t>Метр в Секунду/ Metre per Second</t>
  </si>
  <si>
    <t>Энергия/ Energy</t>
  </si>
  <si>
    <t>Ккал/ kcal</t>
  </si>
  <si>
    <t>Кило Калорий (Теплота)/ Kilo Calories (Heat)</t>
  </si>
  <si>
    <t>кДж/ kj</t>
  </si>
  <si>
    <t>Кило Джоуль (Электрика и приводы)/ Kilo Joule (Electrics and Drives)</t>
  </si>
  <si>
    <t>Электроэнергия/ Electric power</t>
  </si>
  <si>
    <t>кВт/ kW</t>
  </si>
  <si>
    <t>Киловатт (электрика и приводы)/ Kilowatts (electrics and drives)</t>
  </si>
  <si>
    <t>Работа / Work</t>
  </si>
  <si>
    <t>кВт ч/ kWh</t>
  </si>
  <si>
    <t>Киловатт-час (электрика и приводы)/ Kilowatt hours (electrics and drives)</t>
  </si>
  <si>
    <t>Теплоёмкость / Heat capacity</t>
  </si>
  <si>
    <t>ккал/кг°C , kcal / kg ° C</t>
  </si>
  <si>
    <t>Килокалорий в Килограмм °C/ Kilocalories to Kilogram ° C</t>
  </si>
  <si>
    <t>Теплопроводность / Thermal conductivity</t>
  </si>
  <si>
    <t>ккал/м ч °C/ kcal / mh ° C</t>
  </si>
  <si>
    <t>Килокалорий на Метр *час °C / KiloCalories per Meter * hour ° C</t>
  </si>
  <si>
    <t>Коэффициент загрязнения/ Pollution factor</t>
  </si>
  <si>
    <r>
      <t>м</t>
    </r>
    <r>
      <rPr>
        <vertAlign val="superscript"/>
        <sz val="10"/>
        <color theme="1"/>
        <rFont val="Times New Roman"/>
        <family val="1"/>
      </rPr>
      <t>2</t>
    </r>
    <r>
      <rPr>
        <sz val="10"/>
        <color theme="1"/>
        <rFont val="Times New Roman"/>
        <family val="1"/>
      </rPr>
      <t>ч°C/ккал, m</t>
    </r>
    <r>
      <rPr>
        <vertAlign val="superscript"/>
        <sz val="10"/>
        <color theme="1"/>
        <rFont val="Times New Roman"/>
        <family val="1"/>
      </rPr>
      <t>2</t>
    </r>
    <r>
      <rPr>
        <sz val="10"/>
        <color theme="1"/>
        <rFont val="Times New Roman"/>
        <family val="1"/>
      </rPr>
      <t>h °C / kcal</t>
    </r>
  </si>
  <si>
    <t>Метр квадратный *Час* °C на Килокалории/ Square meter * Hour * ° C per Kilocalory</t>
  </si>
  <si>
    <t>Коэффициент теплоотдачи/ Heat transfer coefficient</t>
  </si>
  <si>
    <t>ккал/м2ч°C, kcal / m2h ° C</t>
  </si>
  <si>
    <t>Килокалорий на метр квадратный * градус Цельсия/ Calories per square meter * Degree Celsius</t>
  </si>
  <si>
    <t>Энтальпия/ Enthalpy</t>
  </si>
  <si>
    <t>ккал/кг, kcal / kg</t>
  </si>
  <si>
    <t>Килокалорий на килограмм/ Kilocalories per kilogram</t>
  </si>
  <si>
    <t>Скорость нагрева / Heating rate</t>
  </si>
  <si>
    <t>Гкал/ч,  Мкал/ч, Gcal / h, Mcal / h</t>
  </si>
  <si>
    <t>Гигакалорий в час , Мегакалорий в час / Gigacalories per hour, Megacalories per hour</t>
  </si>
  <si>
    <t>Динамическая Вязкость / Dynamic viscosity</t>
  </si>
  <si>
    <t xml:space="preserve">cP </t>
  </si>
  <si>
    <t>Сантипуаз / Centipoise</t>
  </si>
  <si>
    <t>Кинематическая Вязкость сырья/продукта/ Kinematic Viscosity of Raw Material / Product</t>
  </si>
  <si>
    <t>cCt / при 40 °C, cCt / at 40 ° C</t>
  </si>
  <si>
    <t>Сантистокс при 40 °C/ Centistokes at 40 ° C</t>
  </si>
  <si>
    <t>Плотность / Density</t>
  </si>
  <si>
    <t>кг/м3 , kg / m3</t>
  </si>
  <si>
    <t>Килограмм на метр кубический/ Kilogram per cubic meter</t>
  </si>
  <si>
    <t>Относительная плотность жидкости/ Specific gravity of liquid</t>
  </si>
  <si>
    <t xml:space="preserve">Sp Gr T°C/15°C </t>
  </si>
  <si>
    <t>Удельная плотность при 15 °C/ Specific gravity at 15 ° C</t>
  </si>
  <si>
    <t>Абсолютная плотность жидкости/ Absolute fluid density</t>
  </si>
  <si>
    <r>
      <t>кг/м</t>
    </r>
    <r>
      <rPr>
        <vertAlign val="superscript"/>
        <sz val="10"/>
        <color theme="1"/>
        <rFont val="Times New Roman"/>
        <family val="1"/>
      </rPr>
      <t>3</t>
    </r>
    <r>
      <rPr>
        <sz val="10"/>
        <color theme="1"/>
        <rFont val="Times New Roman"/>
        <family val="1"/>
      </rPr>
      <t xml:space="preserve"> при 20°C / kg / m3 at 20 ° C</t>
    </r>
  </si>
  <si>
    <t>Килограмм на метр кубический при 20 °C/ Kilogram per cubic meter at 20 ° C</t>
  </si>
  <si>
    <t>Плотность паров/ Vapor density</t>
  </si>
  <si>
    <r>
      <t>кг/м</t>
    </r>
    <r>
      <rPr>
        <vertAlign val="superscript"/>
        <sz val="10"/>
        <color theme="1"/>
        <rFont val="Times New Roman"/>
        <family val="1"/>
      </rPr>
      <t xml:space="preserve">3 </t>
    </r>
    <r>
      <rPr>
        <sz val="10"/>
        <color theme="1"/>
        <rFont val="Times New Roman"/>
        <family val="1"/>
      </rPr>
      <t>, kg / m</t>
    </r>
    <r>
      <rPr>
        <vertAlign val="superscript"/>
        <sz val="10"/>
        <color theme="1"/>
        <rFont val="Times New Roman"/>
        <family val="1"/>
      </rPr>
      <t>3</t>
    </r>
  </si>
  <si>
    <t>Килограмм на метр кубический / Kilogram per cubic meter</t>
  </si>
  <si>
    <t>Поверхностное натяжение / Surface tension</t>
  </si>
  <si>
    <t>мН/м, mn / m</t>
  </si>
  <si>
    <t>Миллиньютон на метр/ Millinewton per meter</t>
  </si>
  <si>
    <t>../..
Process specific data, such as plant nominal capacity, capacities of main equipment, turndown requirements, process specifications, product data, feedstock specifications, meteorological conditions and detailed utility characteristics are described in the latest revisions of the system specific design bases and the document Basic Engineering and Design Data (BEDD).</t>
  </si>
  <si>
    <t>Chap. GENERAL</t>
  </si>
  <si>
    <t>P 8/47</t>
  </si>
  <si>
    <t>suite…</t>
  </si>
  <si>
    <t>Parameters of the technological process. Terms and Definitions 
Regulation ../..
Warning ../..
Dangerous ../..
Maximum ../..
Critical ../..</t>
  </si>
  <si>
    <t>Chap. 2.1</t>
  </si>
  <si>
    <t>P 12/47</t>
  </si>
  <si>
    <t>Voir TSP-5004 chapt 5</t>
  </si>
  <si>
    <t>Voir TSP-5004 chapt 3</t>
  </si>
  <si>
    <t>Voir TSP-5004 chapt 4</t>
  </si>
  <si>
    <t>Voir TSP-5004 chapt 6</t>
  </si>
  <si>
    <t>Voir TSP-5004 chapt 7</t>
  </si>
  <si>
    <t>Chap. 7.1.4</t>
  </si>
  <si>
    <t>P 24/47</t>
  </si>
  <si>
    <r>
      <rPr>
        <b/>
        <sz val="12"/>
        <color theme="1"/>
        <rFont val="Calibri"/>
        <family val="2"/>
        <scheme val="minor"/>
      </rPr>
      <t>For Heat-Excangers:</t>
    </r>
    <r>
      <rPr>
        <sz val="11"/>
        <color theme="1"/>
        <rFont val="Calibri"/>
        <family val="2"/>
        <scheme val="minor"/>
      </rPr>
      <t xml:space="preserve">
The minimum nozzle size for piping connections shall be 50mm. This includes piped vents and drains.
On small equipment, smaller vents / drains (20 mm min.) may be used in utility service for flowmeter measurements. 
Nozzles other than vents and drains that are smaller than 50 mm.
Dimensions of nozzles and standards for instrumentation are determined by the technical conditions of GCC-CC7-PF-00000-IN-TSP-8013 ‘Design Criteria for Instrumentation (Requirements to Design Works, Manufacturing and Testing of Instrumentation)’ </t>
    </r>
  </si>
  <si>
    <t>Redundancy of exchangers will be decided on a case by 
case basis.</t>
  </si>
  <si>
    <t>heat exchanger</t>
  </si>
  <si>
    <t>Chap. 7.1.6</t>
  </si>
  <si>
    <t>P 25/47</t>
  </si>
  <si>
    <t>Chap. 7.1.5</t>
  </si>
  <si>
    <t xml:space="preserve">../.. Corrosion allowances are not applicable to heat exchanger pipes. </t>
  </si>
  <si>
    <t>Chap. 7.2</t>
  </si>
  <si>
    <t>For VSD../..</t>
  </si>
  <si>
    <t>To calculate the ACU, temperature equal to 30 °C shall be taken. The preferred temperature of the process medium at the outlet of the air cooler unit for all cases of application of air cooling is 50 ° C (with the exception of viscous and hardening products). On the equipment for LPG and naphtha, provide for spare water cooling 
capacities in addition to the ACU based on the possibility of raising the ambient temperature in the summer to + 36 ° C
../.. VSD for at least 50% of the fans
../..equipped with air recirculation or steam heater for operation in the set mode in winter time, where necessary. 
../..</t>
  </si>
  <si>
    <r>
      <rPr>
        <b/>
        <sz val="12"/>
        <color theme="1"/>
        <rFont val="Calibri"/>
        <family val="2"/>
        <scheme val="minor"/>
      </rPr>
      <t>Pumps and Compressors</t>
    </r>
    <r>
      <rPr>
        <sz val="11"/>
        <color theme="1"/>
        <rFont val="Calibri"/>
        <family val="2"/>
        <scheme val="minor"/>
      </rPr>
      <t xml:space="preserve">
Pumps within the Package unit shall comply with the requirements of doc. Customer's Specification for the Supply of Pump Units GCC-CC7-PF-00000-RQ-TSP-7002.</t>
    </r>
  </si>
  <si>
    <t>../.. Pumps shall be capable of at least a 5% head increase at 
rated condition by the installation of a new impeller ../..</t>
  </si>
  <si>
    <t>Overcapacity for pumps shall be decided on a case-by-case basis. The following are minimum criteria to determine spare capacity rates on flow rate in utility service: 10% centrigugal; 20 reciprocating
../..
The diameter of the impeller(s) provided shall not be greater than 95% of the maximum impeller diameter that may be installed in the pump</t>
  </si>
  <si>
    <t>Chap. 7.3.2</t>
  </si>
  <si>
    <t>P 26/47</t>
  </si>
  <si>
    <t>Pumps Start / Stop</t>
  </si>
  <si>
    <t>../.. All auto-start or remote-start pumps are to have a warn-
ing sign that the pump can be remotely started or auto-
matically started.</t>
  </si>
  <si>
    <t>../..
The NPSHA (Net Positive Suction Head Available) to be shown on the pump data sheet shall include a safety margin to the actual calculated NPSH as follows: 
- 10% or 1m, whichever is greater.
- For liquids at or near their boiling point, elevations of pumps and vessels shall provide a minimum NPSH available of 4.0 meters of liquid for pumps at flow rates of less than 100 m³/h and 5.0 meters at flow rates of 100-200 m³/h.
../.. etc...</t>
  </si>
  <si>
    <t>Chap. 7.3.3</t>
  </si>
  <si>
    <t>P 27/47</t>
  </si>
  <si>
    <t>For LPG and highly flammable services (as per GOST 12.1.007), sealless pumps shall be applied. It is permitted to use centrifugal pumps with dual unpressurized seals vented to the flare, as per API 682. 
The barrier fluid system shall have a sensor that will detect failure of the seal system, the barrier fluid system, or both
Pumps with mechanical seals shall allow the monitoring of bearing temperature with high temperature alarm and high temperature SIS trip. Pump shall be selected with provisions to allow the installation of bearing temperature sensors</t>
  </si>
  <si>
    <t>Chap. 7.3.4</t>
  </si>
  <si>
    <t>P 28/47</t>
  </si>
  <si>
    <t>Pumps</t>
  </si>
  <si>
    <t>All pumps in continuous service, where an interruption will immediately affect production, shall have an installed standby pump of equivalent capacity.
For pumps, the continuity of which is critically important from the point of reliability and safet ../..</t>
  </si>
  <si>
    <t>Chap. 7.3.5</t>
  </si>
  <si>
    <t>Voir piping design TSP-5004 ex: Chap 7.3.6 pour les pompes…</t>
  </si>
  <si>
    <t xml:space="preserve">Vessels and units operating under overpressure shall be designed in accordance to the GOST 34347-2017 “Vessels and apparatuses. Welded steel. General specifications.” 
Tanks being steel structures, shall be designed in accordance to the GOST 31385-2016 “Vertical cylindrical steel tanks for oil and oil products. General specifications.”
Applicable Russian codes shall always be applied.
Additional codes may be used on a case by cases basis for other equipment types. </t>
  </si>
  <si>
    <t>Et encore un peu autrement…</t>
  </si>
  <si>
    <t>Chap. 7.5.1</t>
  </si>
  <si>
    <t>P 31/47</t>
  </si>
  <si>
    <t>CA for PV</t>
  </si>
  <si>
    <t xml:space="preserve">A corrosion/erosion allowance (based on 20 years service) shall be added to all parts of equipment in contact with a corrosive medium 
Minimum corrosion/erosion allowances for non-corrosive environment shall be as follows: 
1-  Carbon Steel (including 0.5 Mo steel and low alloy 
steel): 
- for non-aggressive media: 2 mm; 
- for the rest: 3 mm or more. 
2- Alloy and stainless steel: 
up to 1mm depending on the operating conditions for corrosive services -  1 mm, for low-corrosive services – 0mm. </t>
  </si>
  <si>
    <t>Chap. 7.5.2</t>
  </si>
  <si>
    <t>suivant les équipements…</t>
  </si>
  <si>
    <t>Data</t>
  </si>
  <si>
    <t>Sur PVV</t>
  </si>
  <si>
    <t>Chap. 7.5.3.3</t>
  </si>
  <si>
    <t>P 32/47</t>
  </si>
  <si>
    <t>7.5.3.2 Nozzle Pressure Classes
      Suivant la pression de l'équipements (on s'en doute!)... pour l'ionstrum, on ne dit pas 300# mais : "../.. connection shall be at least 4.0 MPa."</t>
  </si>
  <si>
    <t>GCC-CC7-PF-00000-IN-TSP-8013</t>
  </si>
  <si>
    <t xml:space="preserve"> “Design Criteria for Instrumentation"</t>
  </si>
  <si>
    <t>7.5.3.1 Manways and Handholes
      suivant les diametre d'appereils les DN sont différents...
7.5.3.4 Instrumentation Nozzle Sizes
      Voir la spec instrum TSP-8013
      Note: une table préliuminaire donne tout à 2" mini
7.5.3.3 Vents and Drains
     Suivant la contenance du vessel &lt;20m3 : DN 2" mini
 7.5.3.5 Minimum Nozzle Size 
   2" (en bref !)../..
 7.5.3.6 Nozzle Designations
   Liste des codification de nozzle !!!</t>
  </si>
  <si>
    <t>PVV design data</t>
  </si>
  <si>
    <t>Chap. 7.5 et 7.6</t>
  </si>
  <si>
    <t>P 35/47</t>
  </si>
  <si>
    <t xml:space="preserve"> 7.5.4 Liquid Residence Time 
   ../..
7.6 Gas-Liquid Separators
    ../..
7.7 Filters 
   ../..</t>
  </si>
  <si>
    <t>7.10 Flare system 
   ../..</t>
  </si>
  <si>
    <t>Chap. 7.10</t>
  </si>
  <si>
    <t>P 39/47</t>
  </si>
  <si>
    <t>Autres utilités</t>
  </si>
  <si>
    <t>Drain …</t>
  </si>
  <si>
    <t>Chap. 7.11</t>
  </si>
  <si>
    <t>P 40/47</t>
  </si>
  <si>
    <t>7.11. Drain system ../..
7.12 Pump cooling system  ../..
7.13 Instrument air system ../..</t>
  </si>
  <si>
    <t xml:space="preserve">The requirements for flexibility, expansion and turndown are considered in each case. As a rule, additional capacities for expansion will not be considered in the future.
The maximum and minimum capability for UI&amp;O systems will be selected to support the maximum and minimum operating modes of the process units that form part of the Gas Chemical Complex within Ethane-Rich Gas Processing Complex Project, Baltic Chemical Complex LLC (BCC LLC). </t>
  </si>
  <si>
    <t>P 45/47</t>
  </si>
  <si>
    <t>Onshore (voir pays de destination)</t>
  </si>
  <si>
    <t>../.. 
The sparing philosophy for the process units will be determined by the Licensor requirements and agreed with the Client at FEED stage</t>
  </si>
  <si>
    <t>Instrum et control command</t>
  </si>
  <si>
    <t>All control and safety systems shall be designed for continuous, highly reliable, trouble-free operation, and also be easily accessible.
All instrumentation and systems shall be designed for reliable, continuous operation under existing environmental conditions. For ease of maintenance, equipment shall be standardized as much as possible, and equipment of similar types shall be purchased from the same manufacturer</t>
  </si>
  <si>
    <t>Chap. 10.3</t>
  </si>
  <si>
    <t>../.. Attention au contexte (instrum) ../.. For ease of maintenance, equipment shall be standardized as much as possible, and equipment of similar types shall be purchased from the same manufacturer</t>
  </si>
  <si>
    <t>Voir "Seuil de bruit" ci-dessus..
../.. 
The equivalent sound level at workplaces shall not exceed 80 dBA in accordance with Appendix 6 SanPin 2.2.4.3359-16 “Sanitary and epidemiological requirements for physical factors at workplaces".</t>
  </si>
  <si>
    <t>same in TSP-5004 chap 10.2</t>
  </si>
  <si>
    <t xml:space="preserve">10.1 Thermal Relief Valves </t>
  </si>
  <si>
    <t>10.1 Thermal Relief Valves 
   ../.. He oui, il faut prévoir les TSV !</t>
  </si>
  <si>
    <t>P 44/47</t>
  </si>
  <si>
    <r>
      <rPr>
        <b/>
        <sz val="12"/>
        <color theme="1"/>
        <rFont val="Calibri"/>
        <family val="2"/>
        <scheme val="minor"/>
      </rPr>
      <t>9.0 TRACING AND INSULATION</t>
    </r>
    <r>
      <rPr>
        <sz val="11"/>
        <color theme="1"/>
        <rFont val="Calibri"/>
        <family val="2"/>
        <scheme val="minor"/>
      </rPr>
      <t xml:space="preserve">
Heat tracing and insulation is required in all areas with a solidification temperature higher than the cold five day temperature to prevent condensation, hydrate formation or icing, or to maintain the temperature of the process medium in pipelines, apparatuses, containers, devices and other equipment.
Details of the practice of heat tracing are described in GCC-CC7-PF-00000-PE-TSP-5005, “Basic Principles of Preparing for Operation in Winter Conditions.
The purpose of thermal insulation is to preserve heat, protect personnel from contact with hot and cold surfaces and prevent condensation.
../.. voir ci dessous la spec TSP 6008</t>
    </r>
  </si>
  <si>
    <t>8.1 Pressure Drop and Velocity Criteria ../..
8.2 Two Phase Flow Lines ../..
8.3 Pressure Drop For Control Valves ../..</t>
  </si>
  <si>
    <t xml:space="preserve">EQUIPMENT_AND_PIPING_PAINTING_SPECIFICATION </t>
  </si>
  <si>
    <t>Attachment №6</t>
  </si>
  <si>
    <t>References to the Applicable Legislative And Local Regulatory Documents</t>
  </si>
  <si>
    <t>1. RF Government Deсree N 1521 dd. December 26, 2014</t>
  </si>
  <si>
    <t>2. GOST R 55436-2013 Gas Distribution Systems. Coatings of Extruded Polyethylene on Steel Pipes. General Technical Requirements.</t>
  </si>
  <si>
    <t>3.  GOST 9.014-78 Unified System of Corrosion and Ageing Protection. Temporary Corrosion Protection of Products. General Requirements.</t>
  </si>
  <si>
    <t>4. GOST 9.402-2004 Unified System of Corrosion and Ageing Protection.</t>
  </si>
  <si>
    <t>Paint Coatings. Metal Surface Preparation for Painting.</t>
  </si>
  <si>
    <t>5. GOST 31993-2013 Paint Materials. Determination of Film Thickness.</t>
  </si>
  <si>
    <t>6. GOST 14202-69 Pipelines of Industrial Plants. Identification Coloring, Safety Signs and Marking Screens.</t>
  </si>
  <si>
    <t>7. GOST 12.4.026-2015 Safety Colors, Safety Signs and Signal Marking. Purpose and Rules of Application. General Technical Requirements and Characteristics. Test Methods.</t>
  </si>
  <si>
    <t xml:space="preserve">8. ASTM D3276-2015 Standard Guide for Painting Inspectors (Metal Substance). </t>
  </si>
  <si>
    <t xml:space="preserve">9. ASTM D4541-2009 Standard Test Method for Pull-Off Strength of Coatings Using Portable Adhesion Testers. </t>
  </si>
  <si>
    <t>10. ASTM D5162–2008 Standard Practice for Discontinuity (Holiday) Testing of Nonconductive Protective Coating on Metallic Substrates.</t>
  </si>
  <si>
    <t>11. ASTM D3359-2017 Standard Test Methods for Rating Adhesion by Tape Test.</t>
  </si>
  <si>
    <t>12. ASTM G62-2007 (R 2013) Standard Test Methods for Holiday Detection in Pipeline Coatings.</t>
  </si>
  <si>
    <t>13. ISO 8503-5-2017 Preparation of Steel Substrates before Application of Paints and Related Products. Surface Roughness Characteristics of Blast-Cleaned Steel Substrates -- Part 5: Replica Tape Method for the Determination of the Surface Profile.</t>
  </si>
  <si>
    <t>14. ISO 12944-5-2018 Paints and Varnishes -- Corrosion Protection of Steel Structures by Protective Paint Systems -- Part 5: Protective Paint Systems.</t>
  </si>
  <si>
    <t>15. ISO 12944-2-2017 Paints and Varnishes - Corrosion protection of Steel Structures by Protective Paint Systems - Part 2: Classification of Environments.</t>
  </si>
  <si>
    <t>16. ISO 8501-3-2006 Preparation of Steel Substrates before Application of Paints and Related Products. Visual Assessment of Surface Cleanliness. Part 3: Preparation Grades of Welds, Edges and Other Areas with Surface Imperfections.</t>
  </si>
  <si>
    <t>17. ISO 8501-1-2007 Preparation of Steel Substrates before Application of Paints and Related Products. Visual Assessment of Surface Cleanliness. Part 1: Rust Grades and Preparation Grades of Uncoated Steel Substrates and of Steel Substrates after Overall Removal of Previous Coatings.</t>
  </si>
  <si>
    <t>18. ISO 2808-2019 Paints and Varnishes - Determination of Film Thickness.</t>
  </si>
  <si>
    <t>19. VSN 447-84 Industry-Specific Construction Standards. Standard Consumption Rates of Paint and Auxiliary Materials for Painting Steel Structures at the Installation Site.</t>
  </si>
  <si>
    <t>20. SSPS-SP-1 Steel Structures Painting Council (SSPC). Solvent Cleaning.</t>
  </si>
  <si>
    <t>3.9 Painting 
Equipment and piping shall be painted and colour-marked in accordance with doc. Equipment and Piping Painting Specification GCC-CC7-PF-00000-PA-TSP-5007.
The equipment shall be painted by Vendor before shipping to the Client’s site.
../..
7.10 For the steel structures design, the corrosion protection and paint coating shall comply with requirements of SP 28.13330-2012.
7.11 Before application of the corrosion protec-tion coating, the civil structures coating shall comply with GOST 9.402:
– abrasive blast cleaning – 2nd degree
– surface degreasing – 1st degree.</t>
  </si>
  <si>
    <t>P 5 et 14/17</t>
  </si>
  <si>
    <r>
      <t xml:space="preserve">5.1. Structures: open pump houses, open compressor stations, pedestals, </t>
    </r>
    <r>
      <rPr>
        <b/>
        <sz val="12"/>
        <color theme="1"/>
        <rFont val="Calibri"/>
        <family val="2"/>
        <scheme val="minor"/>
      </rPr>
      <t>equipment structures, pipe racks</t>
    </r>
    <r>
      <rPr>
        <sz val="11"/>
        <color theme="1"/>
        <rFont val="Calibri"/>
        <family val="2"/>
        <scheme val="minor"/>
      </rPr>
      <t xml:space="preserve"> and combined shop floors
Note 1: These specifications do not contain fundamental requirements for painting above-ground pipelines, equipment and profiles of process steel structures (for example: service platforms on equipment). Specifications for painting equipment and pipelines are set forth in GCC-CC7-PF-00000-PA-TSP-5007
Note 2: Color code, voir l'Attachment 3 (Grey RAL 7035)
Tout est 7035 ../.. sauf:
../.. Steel stairs, roof fencing, and outdoor steel structures are light blue RAL 5024
../.. Flooring of steel stairs, steps, platforms, bridges shall be grillages with galvanised coating, if a coating is necessary, the colour shall be grey RAL 7035
../.. Railing of stairs is yellow RAL 1021
../.. Fire systems
../.. Le bas des strcuture est en blanc RAL 9016</t>
    </r>
  </si>
  <si>
    <t xml:space="preserve">This specification defines the requirements for 
painting of aboveground piping, equipment 
and structural steel shapes.
./..
</t>
  </si>
  <si>
    <t>P 5/40</t>
  </si>
  <si>
    <t xml:space="preserve">ASTM D3276-2015 </t>
  </si>
  <si>
    <t>ASTM D4541-2009</t>
  </si>
  <si>
    <t>ASTM D5162-2008</t>
  </si>
  <si>
    <t xml:space="preserve">ISO 8503-5-2017 </t>
  </si>
  <si>
    <t>ISO 12944-5-2018</t>
  </si>
  <si>
    <t xml:space="preserve">ISO 8501-3-2006 </t>
  </si>
  <si>
    <t>ISO 12944-2-2017</t>
  </si>
  <si>
    <t>С. Steel Structures Painting Council (SSPC) SSPS-SP-1</t>
  </si>
  <si>
    <t>TSP-5007</t>
  </si>
  <si>
    <t>Painted / non painted</t>
  </si>
  <si>
    <t>P 8/40</t>
  </si>
  <si>
    <t xml:space="preserve">B. Equipment finish color shall be in accordance with Attachment 1 (Tables 1-6). </t>
  </si>
  <si>
    <t>P 10/40</t>
  </si>
  <si>
    <r>
      <t>1. For all structures and equipment, Corrosive Aggressiveness of the environment is set at</t>
    </r>
    <r>
      <rPr>
        <b/>
        <sz val="12"/>
        <color theme="1"/>
        <rFont val="Calibri"/>
        <family val="2"/>
        <scheme val="minor"/>
      </rPr>
      <t xml:space="preserve"> C4 according to ISO 12944-2</t>
    </r>
    <r>
      <rPr>
        <sz val="11"/>
        <color theme="1"/>
        <rFont val="Calibri"/>
        <family val="2"/>
        <scheme val="minor"/>
      </rPr>
      <t>, unless specified otherwise.
See Attachment №2 (Table №1).
2. For aggressiveness level C4, the specified service life of protective coating should be no less</t>
    </r>
    <r>
      <rPr>
        <b/>
        <sz val="12"/>
        <color theme="1"/>
        <rFont val="Calibri"/>
        <family val="2"/>
        <scheme val="minor"/>
      </rPr>
      <t xml:space="preserve"> than 10 years.</t>
    </r>
    <r>
      <rPr>
        <sz val="11"/>
        <color theme="1"/>
        <rFont val="Calibri"/>
        <family val="2"/>
        <scheme val="minor"/>
      </rPr>
      <t xml:space="preserve">
The aggressiveness level can be lower:
A. If protective coating is needed only for corrosion protection during shipping and the equipment/structure assembled on site will be covered with finishing layers ../..
E. Primers, finishing paints and varnishes shall be tinted, sealed, and labeled products from the Manufacturer ../.. Before use, all materials shall be approved by Material Engineer.</t>
    </r>
  </si>
  <si>
    <t>Qualified Vendors</t>
  </si>
  <si>
    <t>Systems</t>
  </si>
  <si>
    <t>Corrosive Aggressiveness</t>
  </si>
  <si>
    <t>P 12/40</t>
  </si>
  <si>
    <t>The paint systems listed in Attachment 3 hereto shall be applicable to the surfaces, which require painting. Materials and systems shall not be revised or altered until it is agreed by the Client. Surface preparation shall be as per GOST R 55436-2013 (ISO 8501-1).
../..
An example of steel structure paint systems with indicating paint trademarks, based on design experience - see Attachment No. 4 (Scheme No. 1-13).</t>
  </si>
  <si>
    <t xml:space="preserve">Paint systems shall be selected from the following paint manufacturers list:
• AkzoNobel / International Paint
• Carboline
• Hempel Coating
• Jotun
• PGG Protective and Marine Coatings (Ameron, Sigma Coatings)
•Sherwin Williams Protective &amp; Marine Coatings 
• Other paint manufacturers, which products meet ISO requirements and successfully passed laboratory tests and have proven track records in C4 industrial atmosphere.
The choice of the Manufacturer and paint trademarks that meet the requirements for coating systems from Attachment No. 3 must be agreed with the Client. </t>
  </si>
  <si>
    <t xml:space="preserve">Note: F. Identification of Piping Systems — Refer to 
GOST 14202-69 Group Г19 and sections 3.7 and 3.8 herein. </t>
  </si>
  <si>
    <t>Color coding</t>
  </si>
  <si>
    <t>P 20/40</t>
  </si>
  <si>
    <t xml:space="preserve">Color coding shall be in accordance with Attachment 1 hereto. 
Color coding for identification of piping systems shall be by means of colored strips as per GOST 14202-69. </t>
  </si>
  <si>
    <t>P 24/40</t>
  </si>
  <si>
    <t>Table 3</t>
  </si>
  <si>
    <t>NON suf SS car :
2. Non-insulated pipelines of carbon or low-alloy steel shall be painted;
3. Insulated pipelines and pipelines of stainless steel shall be painted by sections (para. 10,11 GOST – 14202)</t>
  </si>
  <si>
    <t xml:space="preserve">As per  ATTACHMENT №2
C4 definition = Industrial and coastal areas with moderate salt load. Chemical plants, swimming pools, boating stations at the seaside. </t>
  </si>
  <si>
    <r>
      <t xml:space="preserve">A. The following do not require shop or field surface preparation and coating, unless otherwise specified
•  Insulation weather-proofing
•  Interior surfaces of equipment (except vessel skirts, bottom heads, interior of electrical and instrumentation panels, enclosures, MCCs, etc.)
•  Non-metallic surfaces
•  Polished and machined surfaces
•  Stainless steel surfaces (except as specified)
</t>
    </r>
    <r>
      <rPr>
        <b/>
        <sz val="12"/>
        <color theme="1"/>
        <rFont val="Calibri"/>
        <family val="2"/>
        <scheme val="minor"/>
      </rPr>
      <t xml:space="preserve">As per Chapter 2.4: </t>
    </r>
    <r>
      <rPr>
        <sz val="11"/>
        <color theme="1"/>
        <rFont val="Calibri"/>
        <family val="2"/>
        <scheme val="minor"/>
      </rPr>
      <t xml:space="preserve">../.. For the items not included into Attachment 1 (Tables №1 to 6), the Contractor shall propose paint systems to be agreed by the Client on a case-by-case basis
</t>
    </r>
    <r>
      <rPr>
        <b/>
        <sz val="12"/>
        <color theme="1"/>
        <rFont val="Calibri"/>
        <family val="2"/>
        <scheme val="minor"/>
      </rPr>
      <t xml:space="preserve">As per Chapter 3.4: K. </t>
    </r>
    <r>
      <rPr>
        <sz val="11"/>
        <color theme="1"/>
        <rFont val="Calibri"/>
        <family val="2"/>
        <scheme val="minor"/>
      </rPr>
      <t xml:space="preserve">Flanges, nozzles, clips, manways, saddles, 
and other attachments that protrude through insulation shall be considered uninsulated and shall be painted according to the guidelines for uninsulated surfaces. 
</t>
    </r>
    <r>
      <rPr>
        <b/>
        <sz val="14"/>
        <color theme="1"/>
        <rFont val="Calibri"/>
        <family val="2"/>
        <scheme val="minor"/>
      </rPr>
      <t>Attention:</t>
    </r>
    <r>
      <rPr>
        <sz val="11"/>
        <color theme="1"/>
        <rFont val="Calibri"/>
        <family val="2"/>
        <scheme val="minor"/>
      </rPr>
      <t xml:space="preserve"> voir également l'attachment 3 car des systemes sont requis sous calo etc... !!!</t>
    </r>
  </si>
  <si>
    <t>Primer</t>
  </si>
  <si>
    <t>Vinikor-061</t>
  </si>
  <si>
    <t>Topcoat</t>
  </si>
  <si>
    <t>Vinikor-62 m.А</t>
  </si>
  <si>
    <t>Epiprime - 046</t>
  </si>
  <si>
    <t>Gamma UR - 11</t>
  </si>
  <si>
    <t>EP-140 with aluminum powder PAP-2</t>
  </si>
  <si>
    <t>Primastik UN</t>
  </si>
  <si>
    <t>Hardtop AS</t>
  </si>
  <si>
    <t>Pilot QD Primer</t>
  </si>
  <si>
    <t>Pilot II</t>
  </si>
  <si>
    <t>Temaline LP primer</t>
  </si>
  <si>
    <t>Temaline LP 60</t>
  </si>
  <si>
    <t>ОС-1203</t>
  </si>
  <si>
    <t>GF-021</t>
  </si>
  <si>
    <t>At operating temperatures above +100°С, corrosion protection is not provided since there is no severe external corrosion.</t>
  </si>
  <si>
    <t>KO-814 with aluminum powder PAP-2</t>
  </si>
  <si>
    <t>KO-813 with aluminum powder PAP-2</t>
  </si>
  <si>
    <t>Cinol</t>
  </si>
  <si>
    <t xml:space="preserve">ATTACHMENT №4 </t>
  </si>
  <si>
    <t>Structural Steel Paint Systems  
based on design experience</t>
  </si>
  <si>
    <t>As per     of PA-TSP-5007</t>
  </si>
  <si>
    <t>ATTACHMENT №3 (**)</t>
  </si>
  <si>
    <t>Structural Steel Paint Systems Used 
during Design</t>
  </si>
  <si>
    <t>Type coating 1</t>
  </si>
  <si>
    <t>Epoxy</t>
  </si>
  <si>
    <t>Total coating thickness, µm</t>
  </si>
  <si>
    <t>Scheme coating</t>
  </si>
  <si>
    <t>2 layers</t>
  </si>
  <si>
    <t>Type coating 2</t>
  </si>
  <si>
    <t>Acrylic - polyurethane</t>
  </si>
  <si>
    <t>3 layers</t>
  </si>
  <si>
    <t>* Corrosion-protection of insulated process pipelines and heating network pipelines with T surface from -60 °С to +20°С made according to the same scheme that apply to pipelines without insulation.</t>
  </si>
  <si>
    <t>** Type coating 2 – apply for tanks with T surface up to +120°С.</t>
  </si>
  <si>
    <t>Epoxy with aluminium powder</t>
  </si>
  <si>
    <t>Up to 3 layers</t>
  </si>
  <si>
    <t>Silicone</t>
  </si>
  <si>
    <t>Silicone with aluminium powder</t>
  </si>
  <si>
    <t>Up to 100</t>
  </si>
  <si>
    <t>Phenolic epoxy</t>
  </si>
  <si>
    <t>Not defined</t>
  </si>
  <si>
    <t>1 layer</t>
  </si>
  <si>
    <t>Up to 240</t>
  </si>
  <si>
    <t>Zinc composition (zinc-rich coating)</t>
  </si>
  <si>
    <t>Scheme</t>
  </si>
  <si>
    <t>corrosion-protection of tanks, process equipment irrespective of insulation; non-insulated process pipelines and heating network pipelines*</t>
  </si>
  <si>
    <t>Scheme №1</t>
  </si>
  <si>
    <t>Application</t>
  </si>
  <si>
    <t>K:</t>
  </si>
  <si>
    <t>С4</t>
  </si>
  <si>
    <r>
      <t xml:space="preserve"> above -10</t>
    </r>
    <r>
      <rPr>
        <vertAlign val="superscript"/>
        <sz val="12"/>
        <color theme="1"/>
        <rFont val="Times New Roman"/>
        <family val="1"/>
      </rPr>
      <t>о</t>
    </r>
    <r>
      <rPr>
        <sz val="12"/>
        <color theme="1"/>
        <rFont val="Times New Roman"/>
        <family val="1"/>
      </rPr>
      <t>С</t>
    </r>
  </si>
  <si>
    <t>Т application:</t>
  </si>
  <si>
    <t xml:space="preserve"> from -60°С to +60°С**</t>
  </si>
  <si>
    <t>T surface:</t>
  </si>
  <si>
    <t xml:space="preserve"> per RAL catalogue</t>
  </si>
  <si>
    <t>COLOR:</t>
  </si>
  <si>
    <t>corrosion-protection of process equipment irrespective of insulation; non-insulated process pipelines and heating network pipelines</t>
  </si>
  <si>
    <t>not defined</t>
  </si>
  <si>
    <t>from +60°С to +150°С</t>
  </si>
  <si>
    <t>silver</t>
  </si>
  <si>
    <t>Scheme №2</t>
  </si>
  <si>
    <t xml:space="preserve"> from +150°С to +500°С</t>
  </si>
  <si>
    <t xml:space="preserve">from -180°С to -60°С; </t>
  </si>
  <si>
    <t>??</t>
  </si>
  <si>
    <t>corrosion-protection of process equipment and insulated process pipelines</t>
  </si>
  <si>
    <t>corrosion-protection of insulated process pipelines and heating network pipelines</t>
  </si>
  <si>
    <t>from +20°С to +150°С;</t>
  </si>
  <si>
    <t>corrosion-protection of internal surfaces of jet fuel tanks</t>
  </si>
  <si>
    <t>Scheme №7</t>
  </si>
  <si>
    <t>slightly aggressive</t>
  </si>
  <si>
    <t xml:space="preserve"> up to +150°С (short-time)</t>
  </si>
  <si>
    <t>corrosion-protection of lightning protection and static-discharge protection devices</t>
  </si>
  <si>
    <t>light grey</t>
  </si>
  <si>
    <t>Scheme №3</t>
  </si>
  <si>
    <t>Scheme №4</t>
  </si>
  <si>
    <t>Scheme №5</t>
  </si>
  <si>
    <t>Scheme №6</t>
  </si>
  <si>
    <t>Scheme №8</t>
  </si>
  <si>
    <t>corrosion-protection of process equipment and pipelines</t>
  </si>
  <si>
    <t>С2, С3, С4, С5-I, С5-М</t>
  </si>
  <si>
    <t>up to +100°С</t>
  </si>
  <si>
    <t>per RAL catalogue</t>
  </si>
  <si>
    <t>100 x 2</t>
  </si>
  <si>
    <t>35 x 2</t>
  </si>
  <si>
    <t>25 x 4</t>
  </si>
  <si>
    <t xml:space="preserve">corrosion-protection of process equipment </t>
  </si>
  <si>
    <t>С2, С3</t>
  </si>
  <si>
    <t>up to +250°С</t>
  </si>
  <si>
    <t>corrosion-protection of tanks with  T surface: up to +120°С</t>
  </si>
  <si>
    <t>corrosion-protection of tanks with  T surface: up to +60°С</t>
  </si>
  <si>
    <t>corrosion-protection of non-insulated process pipelines and heating network pipelines</t>
  </si>
  <si>
    <t>black</t>
  </si>
  <si>
    <t xml:space="preserve">from +400°С to +500°С; </t>
  </si>
  <si>
    <t xml:space="preserve">up to +400°С; </t>
  </si>
  <si>
    <t xml:space="preserve">from +60°С to +100°С; </t>
  </si>
  <si>
    <t xml:space="preserve">from -30°С to +60°С; </t>
  </si>
  <si>
    <t xml:space="preserve">from -80°С to -30°С; </t>
  </si>
  <si>
    <t xml:space="preserve">from +100°С to +300°С; </t>
  </si>
  <si>
    <t>С3, С4</t>
  </si>
  <si>
    <t>up to +100°С (without steam-out);</t>
  </si>
  <si>
    <t>up to +150°С (short-time)</t>
  </si>
  <si>
    <t>Not applicable</t>
  </si>
  <si>
    <t>Scheme №9</t>
  </si>
  <si>
    <t>Scheme №10</t>
  </si>
  <si>
    <t>Scheme №11</t>
  </si>
  <si>
    <t>Scheme №12</t>
  </si>
  <si>
    <t>Scheme №13</t>
  </si>
  <si>
    <t>Voir Tableau dans l'onglet ad hoc</t>
  </si>
  <si>
    <t>APP 3 &amp; 4</t>
  </si>
  <si>
    <t>P 30 to 39</t>
  </si>
  <si>
    <t>Pas de Galva ?? Voir Tableau dans l'onglet ad hoc</t>
  </si>
  <si>
    <t>Tout sur la peinture du GC et des SS utilisés pour le civil</t>
  </si>
  <si>
    <t>-</t>
  </si>
  <si>
    <t>Voir Tableau dans l'onglet ad hoc (oui !)</t>
  </si>
  <si>
    <t>Voir Tableau dans l'onglet ad hoc (oui - pas de galva sauf pour structure dans spec GC )</t>
  </si>
  <si>
    <r>
      <t xml:space="preserve">Vessels shall be designed in accordance with the Russian rules and regulations.  Special attention shall be made to the following documents:
- ТR CU 010/2011
- ТR CU 032/2013
- Federal industrial safety norms and regulations../..
-  PB 03-584-03 "Rules for Design, Fabrication and Acceptance of Welded Steel Vessels"
- GOST 34347-2017 "Welded Steel Vessels"
- GOST 31838-2012.  "Towers"
- ASME VIII Boiler and Pressure Vessel Code.
et la spec  GCC-CC7-PF-00000-SQ-TSP-5012 ../..
</t>
    </r>
    <r>
      <rPr>
        <b/>
        <sz val="12"/>
        <color theme="1"/>
        <rFont val="Calibri"/>
        <family val="2"/>
        <scheme val="minor"/>
      </rPr>
      <t xml:space="preserve">Mais: Foreign standards may be used upon prior agreement with the Client. </t>
    </r>
  </si>
  <si>
    <t>PE-TSP-1005</t>
  </si>
  <si>
    <t>NA Batiment</t>
  </si>
  <si>
    <t>NA SPS Chantier</t>
  </si>
  <si>
    <t>FF-TSP-3008</t>
  </si>
  <si>
    <t>OP-TSP-5003</t>
  </si>
  <si>
    <t>No List</t>
  </si>
  <si>
    <t>PC-TSP-5004</t>
  </si>
  <si>
    <t>renvoi au contrat</t>
  </si>
  <si>
    <t>PE-TSP-1004</t>
  </si>
  <si>
    <t>Specification for Machine Protection (MPS) and Con-ditioning Monitoring (CMS) Systems</t>
  </si>
  <si>
    <t>spec très générale qui donne de grand principes (tracage elec préféré, réduire les lignes nécessitant d'etre tracées, ajouter des recirculations…) A voir lors du details design Process en particulier puis Piping</t>
  </si>
  <si>
    <t>PE-TSP-5005</t>
  </si>
  <si>
    <t xml:space="preserve">Design_Specifications_for_Vessels_and_Apparatuses </t>
  </si>
  <si>
    <t>SQ-TSP-5012</t>
  </si>
  <si>
    <t>ТУ 3612-014-00220302-99 Теплообменники труба в трубе / TU 3612-014-00220302-99 Annular 
tube heat exchangers.</t>
  </si>
  <si>
    <t>ГОСТ Р ИСО 15547-1-2009 Нефтяная и газовая промышленность. Пластинчатые 
теплообменники. Технические требования / GOST R ISO 15547-1-2009 Petroleum and natural 
gas industries. Plate-type heat exchangers. Technical requirements</t>
  </si>
  <si>
    <t>PFD Client +  Eq.list</t>
  </si>
  <si>
    <t>Data Sheet Client / Eq.List Client ?</t>
  </si>
  <si>
    <t>tps de residence / vitesse</t>
  </si>
  <si>
    <t>../..
The test pressure for the vessel shall be 
determined taking into account the minimum 
values for design pressure and the minimum 
allowable stresses for the assembly components 
materials (vessel elements), operating under 
pressure, except for bolts (studs), as well as 
heat-exchange tubes of S&amp;T heat exchangers in 
accordance with Item 7.11 of GOST 34347- 
2017
../..</t>
  </si>
  <si>
    <t>Pressure tests</t>
  </si>
  <si>
    <t>P 8/32</t>
  </si>
  <si>
    <t>P 9/32</t>
  </si>
  <si>
    <t>Chap. 5.4</t>
  </si>
  <si>
    <t>The calculations of wind and snow load resistance for columns and vertical vessels shall be performed in accordance with the Russian codes and standards GOST 34283-2017, SP 20.13330.2016.</t>
  </si>
  <si>
    <t>../..
The minimum corrosion/erosion allowances for corrosion resistant equipment shall be as follows: 
 а) carbon, low-alloy manganese steel:  
     - for non-aggressive environment - 2 mm; 
     - for other environment - 3 mm or more; 
b) chrome-molybdenum steel: 
     - for non-aggressive environment - 2 mm; 
     - for other environment - 3 mm or more; 
c) austenitic stainless steel: 1 mm*). 
d) special alloys: 1 mm*). 
*) to be specified depending on operation conditions
../..
The above compensations shall be considered as one-sided.
The increase of the internal elements thickness for corrosion compensation shall be in accordance with PB 03-584-03
For all cylindrical support elements of the vertical vessels and columns, the corrosion compensation is taken equal to 2 mm (for 
sections of cylindrical supports made of corrosion-resistant steel - 1 mm).
../..</t>
  </si>
  <si>
    <t xml:space="preserve">../.. 
The outcome of the design critical equipment investigation shall be intended to drive engineering, procurement and construction, checking levels and the Supplier Quality Surveillance level of effort. Further the system shall allow increasing of the level of specification, checking, (witness) testing and review on items that are considered more critical than others. </t>
  </si>
  <si>
    <t>Acceptable nozzle loadings of pumps shall comply with the requirements of "Customer's Specification for the Supply of Pump Units" document No. GCC-CC7-PF-00000-RQ-TSP-7002. 
Acceptable nozzle loadings of compressors shall comply with the requirements of "Compressor Equipment Design specification" document No. GCC-CC7-PF-00000-RQ-TSP-7003. 
Acceptable nozzle loadings of vessels and heat exchangers are specified in "Vessels Design Specifications" document No. GCC-CC7-PF-00000-SQ-TSP-5012. 
../.. Acceptable nozzle loadings of air-cooling units for connecting the Client's pipelines shall be at least twice the load values given in GOST ISO 13706-2011</t>
  </si>
  <si>
    <t>Chap. 5.6</t>
  </si>
  <si>
    <t xml:space="preserve">../.. Load and moments affecting the nozzles and 
specified in the tables shall be assessed as per 
WRC 537 and 297. Besides, the well-known 
finite element analysis program shall be used, in 
case nozzle size is too large compared to the 
equipment diameter, when non-standard nozzle 
configurations are used, or in the cases specified 
by the Client.../..
Pour PVV, Voir Tables 1 à 3 avec charge par PN / DN../..
Pour plates Exch Table 4
Pour Air coolers:The allowable loads on the nozzles of air coolers caused by pipelines shall be two times higher than the loads specified in GOST ISO 13706-
2011. </t>
  </si>
  <si>
    <t>P 15/32</t>
  </si>
  <si>
    <t>The strength calculation of vessels and their elements shall be carried out in accordance with GOST R 34233.1-2017, GOST R 34233.11-2017, GOST 34283-2017. It is allowed to carry out calculations based on the import standards (such as ASME etc.) by the prior agreement with the Customer.
../..
The deviation for the columns shall be no more than H/200, where H is the total height of the vessel, and the maximum permissible deviation is 300 mm. There can be more stringent requirements specified by the Supplier of the internals or the Licensor. 
../..</t>
  </si>
  <si>
    <t>Same in SQ-TSP-5012 chap 7</t>
  </si>
  <si>
    <t>P 18/32</t>
  </si>
  <si>
    <t>P 16/32</t>
  </si>
  <si>
    <t>../.. When choosing materials for the vessel, the walls of which can take on the ambient temperature while being under pressure during operation, it is necessary assume the absolute minimum temperature of minus 39°С. For other vessels, the average temperature for the coldest day is minus 26°C with a reliability of 0.92 ../..For equipment made of chromium-molybdenum steel, the startup procedure is required in accordance with the Regulations (Appendix M (mandatory) GOST 34347-2017) with a minimum temperature of 0 ℃.../.. The material design of the vessels manufactured within the Russian Federation operating at cryogenic temperatures shall comply with OST 26-04-2585-86. For vessels manufactured outside of the Russian Federation, the material design shall comply with the requirements of OST 26-04-2585-86 and import standards for the cryogenic industry../..</t>
  </si>
  <si>
    <t>The materials used for manufacturing of the vessels and heat exchangers shall comply with the requirements of the Russian Federation State Standards, in particular the requirements of 
GOST 34347-2017. The quality and characteristics of the materials shall be confirmed by appropriate certificates. ../.. controlling degradation../..
In projects ../.. using stainless corrosion-resistant steel and alloys (austenitic, austenitic-ferritic, ferritic), the following shall be specified: 
 - The requirements for the intercrystallite corrosion resistance (ICC) of the base metal (or the cladding layer) and weld joints, indicating the ICC test method in accordance with GOST 6032-2017/ASTM A262-15/ISO 3651/1,2; 
   - For the base metal (or the cladding layer) of steel type 08X18H10T, 10X17H1ZM2T (and others) or analogues, weld joints, surfacing metal and cladding welds, the use of steel destabilized with chromium carbides is not allowed, the carbon mass content shall be less than 0.03 %, or the sheet-steel shall be stabilized with titanium, the content of which is at least eight times greater than the carbon content; in metal surfacing and weld joints: the ferrite mass content shall be within 3-5%, the carbon mass content - less than 0.03%, ../... For austenitic stainless steel and import welding electrodes, the “L” grade steel shall be used (carbon mass content less than 0.03% according to the chemical composition of the base or deposited steel). 
../..The deposit welding of the base metal is allowed ../..When operating in a humid environment containing hydrogen-sulfide, it is necessary to comply with the regulatory documents STO 00220575.063-2005, ST TsKBA 052-2008, requirements of the NACE MR0103/MR0175../..</t>
  </si>
  <si>
    <t>../.. The welding materials shall comply with OST 26.260.3-2001, as well as STO 00220368-025-2018../..</t>
  </si>
  <si>
    <t>P 20/32</t>
  </si>
  <si>
    <t>Material design</t>
  </si>
  <si>
    <t>../.. The material design of air coolers is set in accordance with Appendix B  GOST R 51364-99, API, ASME ../..</t>
  </si>
  <si>
    <t>../.. The material design of plate heat exchangers is set in accordance with the requirements of  GOST R ISO 15547-1-2009, ASME../..</t>
  </si>
  <si>
    <t>../.. The material design of S&amp;T heat exchangers is set in accordance with the requirements of GOST 31842-2012 and table 10 TU 3612-023-00220302-01, TEMA, ASME../..</t>
  </si>
  <si>
    <t>The requirements for the heat treatment of vessels and vessels elements shall not be lower than specified in p. 5.11 of GOST 34347-2017 and STO 00220368-019-2017. It is allowed to carry out the heat treatment based on the import standards by the prior agreement with the Customer</t>
  </si>
  <si>
    <t>P 21/32</t>
  </si>
  <si>
    <t>Type de fonds ; nb de TH sur colonnes ; soudures entre matieres différentes ; Type de flanges ; Nozzles ; Lifting Lugs ; Colums alignment device ; Juppes et supports ; foundatiopns bolts (multiple of 4) ; MALT ; Large vessels</t>
  </si>
  <si>
    <t>S&amp;T heat exchangers and air-cooling vessels are generally designed with a 15% heat exchanging surface area margin in accordance with the technical specifications. The Customer and the Contractor may require an additional margin in the design to provide for technological guarantees../..</t>
  </si>
  <si>
    <t>Exchangers design data</t>
  </si>
  <si>
    <t>P 25/32</t>
  </si>
  <si>
    <t>P 26/32</t>
  </si>
  <si>
    <t>Surface overdesign (15%) ; Flaring of Tube welds on tubesheet ; Max internal diameter (1.5m if removable 2.5m if not) ; bundle max length 9 m / 12m ; Max weight of bundle : 30t ;  The design of the S&amp;T heat exchanger shall comply with GOST 31842-2012, TEMA ; Shell-and-tube heat exchangers with a floating head, shell-and-tube vessels with U-shaped pipes and tube bundles for them shall comply with TU 3612-023-00220302-01 ; The design of the pipe-to-pipe heat exchangers shall comply with TU 3612-014-00220302-99 ; The plate heat exchangers are designed according to the requirements of API 662, GOST R ISO 15547-1-2009 ; ../..</t>
  </si>
  <si>
    <r>
      <t xml:space="preserve">The design of the air coolers shall comply with GOST ISO 13706-2011, GOST R 51364-99, GOST 25822-83 and API 661 ; The air coolers shall be designed with aluminum shutters in the housing for the air inlet and outlet. If necessary, the internal air recirculation and air heating with water vapor is provided for operation in the cold season ; ../.. ; The material of the blades is aluminum alloys. It is not allowed to use non-metallic materials for the fan blades ; The maximum length of tube bundles shall not exceed 12 meters ; </t>
    </r>
    <r>
      <rPr>
        <b/>
        <sz val="11"/>
        <color theme="1"/>
        <rFont val="Calibri"/>
        <family val="2"/>
        <scheme val="minor"/>
      </rPr>
      <t>The air coolers’ metalwork shall have a galvanized coating</t>
    </r>
    <r>
      <rPr>
        <sz val="11"/>
        <color theme="1"/>
        <rFont val="Calibri"/>
        <family val="2"/>
        <scheme val="minor"/>
      </rPr>
      <t xml:space="preserve"> (Etrange car pas de galva dans la spec peinture !!!)</t>
    </r>
  </si>
  <si>
    <t>Chap. 13</t>
  </si>
  <si>
    <t>P 27/32</t>
  </si>
  <si>
    <t>Bla Bla…</t>
  </si>
  <si>
    <t>ТР ТС 032/2013 Технический регламент Таможенного союза «О безопасности оборудования, работающего под избыточным давлением» / TR CU 032/2013 On Customs Union Technical Regulations 'On the safety of excess pressure equipment'.</t>
  </si>
  <si>
    <t>Федеральные нормы и правила в области промышленной безопасности «Правила промышленной безопасности опасных производственных объектов, на которых используется оборудование, работающее под избыточным давлением» / Federal norms and regulations in the field of industrial safety “Rules of industrial safety of the hazardous industrial facilities, where equipment operating under gauge pressure is used”</t>
  </si>
  <si>
    <t>ПБ 03-584-03 Правила проектирования, изготовления и приемки сосудов и аппаратов стальных сварных / PB 03-584-03 Rules for design manufacturing and acceptance of welded steel vessels and apparatuses</t>
  </si>
  <si>
    <t>ГОСТ Р ИСО 15547-1-2009 Нефтяная и газовая промышленность. Пластинчатые теплообменники. Технические требования / GOST R ISO 15547-1-2009 Petroleum and natural gas industries. Plate-type heat exchangers. Technical requirements</t>
  </si>
  <si>
    <t>ГОСТ Р 51364-99 Аппараты воздушного охлаждения. Общие технические условия / GOST R 51364-99 Air coolers. General specifications</t>
  </si>
  <si>
    <t xml:space="preserve">ГОСТ Р 53678-2009 Нефтяная и газовая промышленность. Материалы для применения в средах, содержащих сероводород, при добыче нефти и газа. Часть 2. Углеродистые и низколегированные стали, стойкие к растрескиванию, и применение чугунов / GOST R 53678-2009 Petroleum and natural gas industries. Materials for use in H2S-containing environments in oil and gas production. Part 2. Cracking-resistant carbon and low-alloy steels and the use of cast irons      </t>
  </si>
  <si>
    <t>ГОСТ 6032-2017 Стали и сплавы коррозионно-стойкие. Методы испытаний на стойкость против межкристаллитной коррозии / GOST 6032-2017 Corrosion-resistant steels and alloys.  Test methods of intercrystalline corrosion resistance</t>
  </si>
  <si>
    <t>ГОСТ 6533-78 Днища эллиптические отбортованные стальные для сосудов, аппаратов и котлов / GOST 6533-78 Ellipsoidal dished heads flanged made of steel for vessels, apparatuses and boilers.</t>
  </si>
  <si>
    <t>ГОСТ 10885-85 Сталь листовая горячекатаная двухслойная коррозионно-стойкая. Технические условия / GOST 10885-85 Hot-rolled corrosion-resistant clad steel sheets.  Specifications</t>
  </si>
  <si>
    <t>ГОСТ ISO 13706-2011 Аппараты с воздушным охлаждением. Общие технические требования. / GOST R 13706-2011 Air coolers. General technical requirements</t>
  </si>
  <si>
    <t>ГОСТ 25822-83 Аппараты воздушного охлаждения. Нормы и методы расчета на прочность / GOST R 25822-83 Air cooled heat exchangers. Norms and methods of strength calculation</t>
  </si>
  <si>
    <t>ГОСТ 26296-84 Лапы опорные подвесных вертикальных сосудов и аппаратов. Основные размеры / GOST 26296-84 Overhung supports of suspended vertical vessels and apparatuses. Basic dimensions</t>
  </si>
  <si>
    <t>ГОСТ 30780-2002 Сосуды и аппараты стальные. Компенсаторы сильфонные и линзовые. Методы расчета на прочность / GOST 30780-2002 Steel vessels. Bellows type expansion joints. Strength calculation methods</t>
  </si>
  <si>
    <t>ГОСТ 31842-2012 Нефтяная и газовая промышленность. Теплообменники кожухотрубчатые. Технические требования / GOST 31842-2012 Petroleum and natural gas industries. Shell-and-tube heat exchangers. Technical requirements</t>
  </si>
  <si>
    <t>ГОСТ 34233.1-2017 Сосуды и аппараты. Нормы и методы расчета на прочность. Общие требования / GOST 34233.1-2017 Vessels and apparatuses. Norms and methods of strength calculation. General requirements</t>
  </si>
  <si>
    <t>ГОСТ 34233.2-2017 Сосуды и аппараты. Нормы и методы расчета на прочность. Расчет цилиндрических и конических обечаек, выпуклых и плоских днищ и крышек / GOST 34233.2-2017 Vessels and apparatuses. Norms and methods of strength calculation. Calculation of cylindric and conic shells, convex and flat bottoms and covers</t>
  </si>
  <si>
    <t>ГОСТ 34233.3-2017 Сосуды и аппараты. Нормы и методы расчета на прочность. Укрепление отверстий в обечайках и днищах при внутреннем и наружном давлениях. Расчет на прочность обечаек и днищ при внешних статических нагрузках на штуцер / GOST 34233.3-2017 Vessels and apparatuses. Norms and methods of strength calculation. Reinforcement of openings in shells and heads under internal and external pressure. Strength calculation of shells and heads under external static loads on the nozzle</t>
  </si>
  <si>
    <t>ГОСТ 34233.4-2017 Сосуды и аппараты. Нормы и методы расчета на прочность. Расчет на прочность и герметичность фланцевых соединений / GOST 34233.4-2017 Vessels and apparatuses. Norms and methods of strength calculation. Strength and leak-tightness calculation of flange joints</t>
  </si>
  <si>
    <t>ГОСТ 34233.5-2017 Сосуды и аппараты. Нормы и методы расчета на прочность. Расчет обечаек и днищ от воздействия опорных нагрузок / GOST 34233.5-2017 Vessels and apparatuses. Norms and methods of strength calculation. Calculation of shells and bottoms under Influence of support loads</t>
  </si>
  <si>
    <t>ГОСТ 34233.6-2017 Сосуды и аппараты. Нормы и методы расчета на прочность. Расчет на прочность при малоцикловых нагрузках / GOST 34233.6-2017 Vessels and apparatuses. Norms and methods of strength calculation. Strength calculation under low-cyclic loads</t>
  </si>
  <si>
    <t>ГОСТ 34233.7-2017 Сосуды и аппараты. Нормы и методы расчета на прочность. Теплообменные аппараты / GOST 34233.7-2017 Vessels and apparatuses. Norms and methods of strength calculation. Heat-exchangers</t>
  </si>
  <si>
    <t>ГОСТ 34233.8-2017 Сосуды и аппараты. Нормы и методы расчета на прочность. Сосуды и аппараты с рубашками / GOST 34233.8-2017 Vessels and apparatuses. Norms and methods of strength calculation. Jacketed vessels and apparatuses.</t>
  </si>
  <si>
    <t>ГОСТ 34233.9-2017 Сосуды и аппараты. Нормы и методы расчета на прочность. Аппараты колонного типа / GOST 34233.9-2017 Vessels and apparatuses. Norms and methods of strength calculation. Column-type vessels.</t>
  </si>
  <si>
    <t>ГОСТ 34233.10-2017 Сосуды и аппараты. Нормы и методы расчета на прочность. Сосуды и аппараты, работающие с сероводородными средами / GOST 34233.10-2017 Vessels and apparatuses. Norms and methods of strength calculation. Vessels and apparatuses involving hydrogen sulphide media</t>
  </si>
  <si>
    <t>ГОСТ 34233.11-2017 Сосуды и аппараты. Нормы и методы расчета на прочность. Метод расчета на прочность обечаек и днищ с учетом смещения кромок сварных соединений, угловатости и некруглости обечаек / GOST 34233.11-2017 Vessels and apparatuses. Norms and methods of strength calculation. Method of strength calculation of shells and bottoms according to weld misalignment, angular misalignment and shell nonroundness</t>
  </si>
  <si>
    <t>ГОСТ 34347-2017 Сосуды и аппараты стальные сварные. Общие технические условия / GOST 34347-2017 Steel welded vessels and apparatuses. General specifications</t>
  </si>
  <si>
    <t>ГОСТ 31838-2012 Аппараты колонные. Технические требования / GOST 31838-2012 Columns. Technical requirements</t>
  </si>
  <si>
    <t>ОСТ 26-04-1222-75 Изделия криогенного машиностроения. Общие требования и нормы / OST 26-04-1222-75. Products of cryogenic engineering. General technical requirements and standards.</t>
  </si>
  <si>
    <t>ОСТ 26-04-2585-86 Техника криогенная и криогенно-вакуумная. Сосуды и камеры. Нормы и методы расчета на прочность, устойчивость и долговечность сварных конструкций / OST 26-04-2585-86. Cryogenic and Cryogenic-Vacuum Engineering. Vessels and Chambers. Standards and Methods of Calculation of the Strength Stiffness, and Service Life of Welded Structures</t>
  </si>
  <si>
    <t>ОСТ 26.260.3-2001 Сварка в химическом машиностроении. Основные положения / OST 26.260.3-2001. Welding in chemical engineering. Main provisions</t>
  </si>
  <si>
    <t>ОСТ 26-2091-93 Опоры горизонтальных сосудов и аппаратов. Конструкция / OST 26-2091-93 Horizontal support vessels and equipment. Design</t>
  </si>
  <si>
    <t>СП 20.13330.2016 Нагрузки и воздействия  / SP 20.13330.2016 Loads and actions</t>
  </si>
  <si>
    <t>СТО 00220368-025-2018 Каталог аналогов импортных и отечественных основных и сварочных материалов, применяемых при изготовлении сосудов, аппаратов и трубопроводов, подведомственных Ростехнадзору / STO 00220368-025-2018 Catalog of import and Russian standard analogues for base and welding materials used in the manufacture of vessels, apparatuses and pipelines subordinate to Rostekhnadzor</t>
  </si>
  <si>
    <t>СТО 00220575.063-2005 Сосуды, аппараты и блоки технологических установок подготовки и переработки нефти и газа, содержащих сероводород и вызывающих коррозионное растрескивание. Технические требования / SТО 00220575.063-2005 Vessels, equipment and process units of oil and gas treatment and refining plants operating in hydrogen sulfide environment and causing corrosion cracking. Technical requirements</t>
  </si>
  <si>
    <t xml:space="preserve">СТ ЦКБА 052-2008 Арматура трубопроводная. Требования к материалам арматуры, применяемой для сероводородсодержащих сред SТ TSKBA 052-2008 Pipe fittings. Requirements to materials of fittings used for hydrogen sulfide-containing media </t>
  </si>
  <si>
    <t>ТУ 3612-014-00220302-99 Теплообменники труба в трубе / ТU 3612-014-00220302-99 Annular tube heat exchangers.</t>
  </si>
  <si>
    <t>ТУ 3612-023-00220302-01 Аппараты теплообменные кожухотрубчатые с плавающей головкой, кожухотрубчатые с U-образными трубами и трубные пучки к ним / TU 3612-023-00220302-01 Shell-and-tube heat exchangers with floating head, shell-and-tube heat exchangers with floating head, shell-and-tube heat exchangers with U-tubes and tube bundles thereto.</t>
  </si>
  <si>
    <t>API RP 571-2011 Damage Mechanisms Affecting Fixed Equipment in the Refining Industry</t>
  </si>
  <si>
    <t>API RP 580-2016 Risk-Based Inspection</t>
  </si>
  <si>
    <t>API RP 581-2019 Risk-Based Inspection Methodology</t>
  </si>
  <si>
    <t>API STD 661-2013 Нефтяная, нефтехимическая и газовая промышленность. Теплообменники с воздушным охлаждением / API STD 661-2013 Petroleum, Petrochemical, and Natural Gas Industries. Air-cooled Heat Exchangers</t>
  </si>
  <si>
    <t>API STD 662-2006 Пластинчатые теплообменники для нефтеперерабатывающих предприятий / API STD 662-2006 Plate Heat Exchangers for General Refinery Services</t>
  </si>
  <si>
    <t>ASTM A262-2015 Standard Practices for Detecting Susceptibility to Intergranular Attack in Austenitic Stainless Steels</t>
  </si>
  <si>
    <t>DIN EN 10204-2005 Metallic products. Types of inspection documents</t>
  </si>
  <si>
    <t>ISO 3651-1-1998 Determination of Resistance to Intergranular Corrosion of Stainless Steels - Part 1: Austenitic and Ferritic-Austenitic (Duplex) Stainless Steels - Corrosion Test in Nitric Acid Medium by Measurement of Loss in Mass (Huey Test)</t>
  </si>
  <si>
    <t>ISO 3651-2-1998 Determination of Resistance to Intergranular Corrosion of Stainless Steels - Part 2: Ferritic, Austenitic and Ferritic-Austenitic (Duplex) Stainless Steels - Corrosion Test in Media Containing Sulfuric Acid</t>
  </si>
  <si>
    <t>ISO 10474-2013 Steel and steel products - Inspection documents</t>
  </si>
  <si>
    <t>NACE MR0103-2012 Материалы, стойкие к растрескиванию под напряжением в сульфидосодержащей среде, в агрессивных средах при переработке нефти / NACE MR0103-2012 Materials Resistant to Sulfide Stress Cracking in Corrosive Petroleum Refining Environments</t>
  </si>
  <si>
    <t>NACE MR0175 Нефтяная, нефтехимическая и газовая промышленность. Материалы для использования в средах, содержащих сероводород, при нефте- и газодобыче / NACE MR0175 Petroleum and natural gas industries. Materials for use in H2S-containing environments in oil and gas production</t>
  </si>
  <si>
    <t>STANDARDS OF THE TUBULAR EXCHANGER MANUFACTURERS ASSOCIATION (TEMA)</t>
  </si>
  <si>
    <t xml:space="preserve"> List of specified regulatory documents</t>
  </si>
  <si>
    <t>ОСТ 26-18-6-88 Сосуды, аппараты и блоки технологические, работающие при температуре ниже минус 70℃ Технические требования / OST 26-18-6-88 Vessels, Apparatuses and Process Units, Operating at Temperature Below Minus 70°C. Technical requirements</t>
  </si>
  <si>
    <t>ISO 3651-2-1998</t>
  </si>
  <si>
    <t>ISO 10474-2013</t>
  </si>
  <si>
    <t>NACE MR0103-2012</t>
  </si>
  <si>
    <t>NACE MR0175</t>
  </si>
  <si>
    <t>ISO 3651-1-1998</t>
  </si>
  <si>
    <t>ASTM A262-2015</t>
  </si>
  <si>
    <t>DIN EN 10204-2005</t>
  </si>
  <si>
    <t>API STD 662-2006</t>
  </si>
  <si>
    <t xml:space="preserve">API STD 661-2013 </t>
  </si>
  <si>
    <t>ГОСТ 30780-2002</t>
  </si>
  <si>
    <t>ОСТ 26-04-2585-86 Техника криогенная и криогенно-вакуумная. Сосуды и камеры. Нормы и 
методы расчета на прочность, устойчивость и долговечность сварных конструкций / OST 26-04-2585-86. Cryogenic and Cryogenic-Vacuum Engineering. Vessels and Chambers. Standards and Methods of Calculation of the Strength Stiffness, and Service Life of Welded Structures</t>
  </si>
  <si>
    <t>OST 26-04-2585-86</t>
  </si>
  <si>
    <t>ОСТ 26-18-6-88 Сосуды, аппараты и блоки технологические, работающие при температуре 
ниже минус 70℃. Технические требования / OST 26-18-6-88 Vessels, Apparatuses and Process Units, Operating at Temperature Below Minus 70°C. Technical requirements</t>
  </si>
  <si>
    <t xml:space="preserve">OST 26-18-6-88 </t>
  </si>
  <si>
    <t>ТУ 3612-023-00220302-01 Аппараты теплообменные кожухотрубчатые с плавающей головкой, кожухотрубчатые с U-образными трубами и трубные пучки к ним / TU 3612-023-00220302-01 Shell-and-tube heat exchangers with floating head, shell-and-tube heat exchangers with floating head, shell-and-tube heat exchangers with U-tubes and tube bundles thereto</t>
  </si>
  <si>
    <t xml:space="preserve">TU 3612-023-00220302-01 </t>
  </si>
  <si>
    <t>TU 3612-014-00220302-99</t>
  </si>
  <si>
    <t>GOST R ISO 15547-1-2009</t>
  </si>
  <si>
    <t>TR CU 010/2011</t>
  </si>
  <si>
    <t>TR CU 032/2013</t>
  </si>
  <si>
    <t xml:space="preserve"> PB 03-584-03</t>
  </si>
  <si>
    <t>GOST R 53678-2009</t>
  </si>
  <si>
    <t>GOST 6533-78</t>
  </si>
  <si>
    <t>GOST 10885-85</t>
  </si>
  <si>
    <t>GOST R 13706-2011</t>
  </si>
  <si>
    <t xml:space="preserve"> GOST R 25822-83</t>
  </si>
  <si>
    <t>GOST 26296-84</t>
  </si>
  <si>
    <t xml:space="preserve">GOST 31842-2012 </t>
  </si>
  <si>
    <t>GOST 34233.1-2017</t>
  </si>
  <si>
    <t>GOST 34233.2-2017</t>
  </si>
  <si>
    <t>GOST 34233.4-2017</t>
  </si>
  <si>
    <t>GOST 34233.5-2017</t>
  </si>
  <si>
    <t>GOST 34233.6-2017</t>
  </si>
  <si>
    <t>API RP 581-2019</t>
  </si>
  <si>
    <t>API RP 580-2016</t>
  </si>
  <si>
    <t>API RP 571-2011</t>
  </si>
  <si>
    <t>SТ TSKBA 052-2008</t>
  </si>
  <si>
    <t>ТU 3612-014-00220302-99</t>
  </si>
  <si>
    <t>SТО 00220575.063-2005</t>
  </si>
  <si>
    <t>STO 00220368-025-2018</t>
  </si>
  <si>
    <t>ATK 24.200.04-90</t>
  </si>
  <si>
    <t>GOST 34233.3-2017</t>
  </si>
  <si>
    <t xml:space="preserve">GOST 34233.7-2017 </t>
  </si>
  <si>
    <t>GOST 34233.8-2017</t>
  </si>
  <si>
    <t>GOST 34233.9-2017</t>
  </si>
  <si>
    <t>GOST 34233.10-2017</t>
  </si>
  <si>
    <t>GOST 34233.11-2017</t>
  </si>
  <si>
    <t xml:space="preserve">GOST 34283-2017 </t>
  </si>
  <si>
    <t>GOST 34347-2017</t>
  </si>
  <si>
    <t>GOST 31838-2012</t>
  </si>
  <si>
    <t>OST 26-04-1222-75</t>
  </si>
  <si>
    <t>OST 26-18-6-88</t>
  </si>
  <si>
    <t xml:space="preserve"> OST 26.260.3-2001</t>
  </si>
  <si>
    <t>OST 26-2091-93</t>
  </si>
  <si>
    <t>ATK 24.200.03-90</t>
  </si>
  <si>
    <t xml:space="preserve">Customer's_Specification_for_the_Supply_of_Pump_Units </t>
  </si>
  <si>
    <t>P 8/34</t>
  </si>
  <si>
    <t>RQ-TSP-7002</t>
  </si>
  <si>
    <t>Electrical equipment of pump units shall be protected by enclosures against ingress of solid objects (including people protection against access to the hazardous parts and protection of electrical equipment inside the enclosure against ingress of solid objects) and water penetration (protection of electrical equipment inside the enclosure against harmful effect due to water penetration). The ingress protection shall comply with GOST 14254-2015 (IEC 60529:2013)</t>
  </si>
  <si>
    <t>Chap. 2.3.2</t>
  </si>
  <si>
    <t>P 7/34</t>
  </si>
  <si>
    <t xml:space="preserve">Electrical equipment of pump units for explosion and fire hazardous plants shall comply with GOST 51330.0-2002. </t>
  </si>
  <si>
    <t>Chap. 2.3.3</t>
  </si>
  <si>
    <t>Voir les linges relatives aux pompes : Mach. Tournantes / Pompes</t>
  </si>
  <si>
    <t>Voir également a spec RQ-TSP-7002 chap 2.3.5 P7/34 pour les pompes (GOST 12.1.003-2014)</t>
  </si>
  <si>
    <t>Material for specific usage</t>
  </si>
  <si>
    <t>Chap. 2.4.4</t>
  </si>
  <si>
    <t xml:space="preserve"> Centrifugal pumps shall meet the requirements 
of API 610 (or GOST 32601-2013). 
Centrifugal canned pumps shall meet the requirements 
of API 685. Magnetic collar pumps shall be used in justified cases only and by the Client approval</t>
  </si>
  <si>
    <t>Chap. 3.1.2</t>
  </si>
  <si>
    <t>P 9/34</t>
  </si>
  <si>
    <t>Note: Duréee de vie pour les batiment = 50 ans
Voir Spec PVV SQ-TSP-5012 Chap 5.5 avec plus de détails
Voir détails dans spec Pour les pompes RQ-TSP-7002 Chap 3.1.7 p 10/34</t>
  </si>
  <si>
    <t>Chap. 3.1.7</t>
  </si>
  <si>
    <t>P 10/34</t>
  </si>
  <si>
    <t>suite + infos sur durée de vie</t>
  </si>
  <si>
    <t>The pump service life shall be based on the operating conditions and corrosive activity of the transferred fluid. The pumps (including auxiliary systems) shall be designed and manufactured considering the service life at least 20 years (excluding quickly wearing parts, such as face seals, groove seals, bearings, washers, ouplings etc., which service life shall be at least 3 years) and minimum 3 years of continuous operation.</t>
  </si>
  <si>
    <t>Voir special design également</t>
  </si>
  <si>
    <t>P 7/34 &amp;10</t>
  </si>
  <si>
    <t>Chap. 3.1.18</t>
  </si>
  <si>
    <t>P 11/34</t>
  </si>
  <si>
    <t>Pumps shall be fitted with an option to increase the head for at least 5 % under rated conditions by replacing the impeller (impellers) to impeller (impellers)of a bigger diameter or using another hydraulic design, variable speed or pump idle stage</t>
  </si>
  <si>
    <t>The pump positive suction head shall be less 
than the system positive suction pressure (for normal 
cavitation-free operation работы of the pump, the dif-
ference between the system and pump positive suction 
pressure shall be at least 0,5 m).</t>
  </si>
  <si>
    <t>Chap. 3.1.19</t>
  </si>
  <si>
    <t xml:space="preserve">Permissible piping loads to discharge and suc-
tion nozzles of the pump shall match the double loads 
provided in API 610 (or GOST 32601-2013). </t>
  </si>
  <si>
    <t>pump mini Nozzle / loads</t>
  </si>
  <si>
    <t>Chap. 3.1.21</t>
  </si>
  <si>
    <t>GOST</t>
  </si>
  <si>
    <t>Non listée mais figure dans le texte en page :P13/26</t>
  </si>
  <si>
    <t>Russe</t>
  </si>
  <si>
    <t>r</t>
  </si>
  <si>
    <t>b</t>
  </si>
  <si>
    <r>
      <t xml:space="preserve"> </t>
    </r>
    <r>
      <rPr>
        <sz val="10"/>
        <color rgb="FF000000"/>
        <rFont val="Calibri"/>
        <family val="2"/>
        <scheme val="minor"/>
      </rPr>
      <t>Process Units for Gas and Oil Refineries. General Specification</t>
    </r>
  </si>
  <si>
    <r>
      <t>GOST</t>
    </r>
    <r>
      <rPr>
        <sz val="10"/>
        <color rgb="FF000000"/>
        <rFont val="Calibri"/>
        <family val="2"/>
        <scheme val="minor"/>
      </rPr>
      <t xml:space="preserve"> 24379.0-2012, GOST 24379.1-2012 </t>
    </r>
  </si>
  <si>
    <r>
      <t>GOST</t>
    </r>
    <r>
      <rPr>
        <sz val="10"/>
        <color rgb="FF000000"/>
        <rFont val="Calibri"/>
        <family val="2"/>
        <scheme val="minor"/>
      </rPr>
      <t xml:space="preserve"> 24379.0-2012, GOST 24379.1-2013</t>
    </r>
    <r>
      <rPr>
        <sz val="11"/>
        <color theme="1"/>
        <rFont val="Calibri"/>
        <family val="2"/>
        <scheme val="minor"/>
      </rPr>
      <t/>
    </r>
  </si>
  <si>
    <r>
      <t xml:space="preserve">ТР ТС 010/2011 Технический регламент Таможенного союза «О безопасности машин и оборудования» / TR CU 010/2011 </t>
    </r>
    <r>
      <rPr>
        <sz val="10"/>
        <color rgb="FF2B2A29"/>
        <rFont val="Calibri"/>
        <family val="2"/>
        <scheme val="minor"/>
      </rPr>
      <t>Customs Union Technical Regulations on safety of machinery and equipment.</t>
    </r>
  </si>
  <si>
    <r>
      <t xml:space="preserve">ГОСТ 34283-2017 </t>
    </r>
    <r>
      <rPr>
        <u/>
        <sz val="10"/>
        <rFont val="Calibri"/>
        <family val="2"/>
        <scheme val="minor"/>
      </rPr>
      <t>Сосуды и аппараты. Нормы и методы расчета на прочность при ветровых, сейсмических и других внешних нагрузках</t>
    </r>
    <r>
      <rPr>
        <sz val="10"/>
        <rFont val="Calibri"/>
        <family val="2"/>
        <scheme val="minor"/>
      </rPr>
      <t xml:space="preserve"> / GOST 34283-2017 Vessels and apparatuses.</t>
    </r>
    <r>
      <rPr>
        <u/>
        <sz val="10"/>
        <rFont val="Calibri"/>
        <family val="2"/>
        <scheme val="minor"/>
      </rPr>
      <t xml:space="preserve"> Norms and methods of strength calculation under wind loads, seismic influence and other external loads</t>
    </r>
  </si>
  <si>
    <r>
      <t>АТК 24.200.03-90</t>
    </r>
    <r>
      <rPr>
        <sz val="10"/>
        <color theme="1"/>
        <rFont val="Calibri"/>
        <family val="2"/>
        <scheme val="minor"/>
      </rPr>
      <t xml:space="preserve"> Опоры-стойки вертикальных аппаратов. Типы конструкция и размеры</t>
    </r>
    <r>
      <rPr>
        <sz val="10"/>
        <color rgb="FF000000"/>
        <rFont val="Calibri"/>
        <family val="2"/>
        <scheme val="minor"/>
      </rPr>
      <t xml:space="preserve"> / ATK 24.200.03-90</t>
    </r>
    <r>
      <rPr>
        <sz val="10"/>
        <color theme="1"/>
        <rFont val="Calibri"/>
        <family val="2"/>
        <scheme val="minor"/>
      </rPr>
      <t xml:space="preserve"> Support Racks for Upright Vessels. Types, Design, and Dimensions</t>
    </r>
  </si>
  <si>
    <r>
      <t>АТК 24.200.04-90</t>
    </r>
    <r>
      <rPr>
        <sz val="10"/>
        <color theme="1"/>
        <rFont val="Calibri"/>
        <family val="2"/>
        <scheme val="minor"/>
      </rPr>
      <t xml:space="preserve"> Опоры цилиндрические и конические вертикальных аппаратов. Типы и основные размеры</t>
    </r>
    <r>
      <rPr>
        <sz val="10"/>
        <color rgb="FF000000"/>
        <rFont val="Calibri"/>
        <family val="2"/>
        <scheme val="minor"/>
      </rPr>
      <t xml:space="preserve"> / ATK 24.200.04-90</t>
    </r>
    <r>
      <rPr>
        <sz val="10"/>
        <color theme="1"/>
        <rFont val="Calibri"/>
        <family val="2"/>
        <scheme val="minor"/>
      </rPr>
      <t xml:space="preserve"> Supports for Cylindrical and Conical Upright Vessels. Types and Basic Parameters</t>
    </r>
  </si>
  <si>
    <t>Safety</t>
  </si>
  <si>
    <t>ELEC</t>
  </si>
  <si>
    <t>Welding</t>
  </si>
  <si>
    <t>PVV</t>
  </si>
  <si>
    <t>Materials</t>
  </si>
  <si>
    <t>Inspection</t>
  </si>
  <si>
    <t>Meca</t>
  </si>
  <si>
    <t>STO 00220368-019-2017</t>
  </si>
  <si>
    <t xml:space="preserve">STO 00220575.063-2005 </t>
  </si>
  <si>
    <t>SanPin 2.2.4.3359-16</t>
  </si>
  <si>
    <t>GOST 12.4.026-2015</t>
  </si>
  <si>
    <t>GOST 14202-69</t>
  </si>
  <si>
    <t>GOST 31993-2013</t>
  </si>
  <si>
    <t xml:space="preserve">GOST 9.014-78 </t>
  </si>
  <si>
    <t>GOST R 55436-2013</t>
  </si>
  <si>
    <t>ASTM D3359-2017</t>
  </si>
  <si>
    <t>N 1521 dd. December 26, 2014</t>
  </si>
  <si>
    <t>EJMA</t>
  </si>
  <si>
    <r>
      <t xml:space="preserve">ASTM D5162-2008 </t>
    </r>
    <r>
      <rPr>
        <i/>
        <sz val="10"/>
        <color rgb="FFFF0000"/>
        <rFont val="Calibri"/>
        <family val="2"/>
        <scheme val="minor"/>
      </rPr>
      <t>Standard Practice for Discontinuity (Holiday) Testing of Nonconductive Protective Coating on Metallic Substrates</t>
    </r>
  </si>
  <si>
    <r>
      <t>ASTM D4541-2009</t>
    </r>
    <r>
      <rPr>
        <sz val="10"/>
        <color rgb="FFFF0000"/>
        <rFont val="Calibri"/>
        <family val="2"/>
        <scheme val="minor"/>
      </rPr>
      <t xml:space="preserve"> </t>
    </r>
    <r>
      <rPr>
        <i/>
        <sz val="10"/>
        <color rgb="FFFF0000"/>
        <rFont val="Calibri"/>
        <family val="2"/>
        <scheme val="minor"/>
      </rPr>
      <t>Standard Guide for Testing Industrial Protective Coatings (ASTM D 6577 : 2015 : R2019)</t>
    </r>
  </si>
  <si>
    <r>
      <t>ASTM D3276-2015</t>
    </r>
    <r>
      <rPr>
        <i/>
        <sz val="10"/>
        <color rgb="FFFF0000"/>
        <rFont val="Calibri"/>
        <family val="2"/>
        <scheme val="minor"/>
      </rPr>
      <t xml:space="preserve">  Standard Guide for Painting Inspectors (Metal Substrates)</t>
    </r>
  </si>
  <si>
    <r>
      <t>ISO 8503-5-2017</t>
    </r>
    <r>
      <rPr>
        <i/>
        <sz val="10"/>
        <color rgb="FFFF0000"/>
        <rFont val="Calibri"/>
        <family val="2"/>
        <scheme val="minor"/>
      </rPr>
      <t xml:space="preserve"> Préparation des subjectiles d'acier avant application de peintures et de produits assimilés — Caractéristiques de rugosité des subjectiles d'acier décapés — Partie 5: Méthode de l'empreinte sur ruban adhésif pour la détermination du profil de surface</t>
    </r>
  </si>
  <si>
    <r>
      <t xml:space="preserve">ISO 8501-3-2006 </t>
    </r>
    <r>
      <rPr>
        <i/>
        <sz val="10"/>
        <color rgb="FFFF0000"/>
        <rFont val="Calibri"/>
        <family val="2"/>
        <scheme val="minor"/>
      </rPr>
      <t>Préparation des subjectiles d'acier avant application de peintures et de produits assimilés — Évaluation visuelle de la propreté d'un subjectile — Partie 3: Degrés de préparation des soudures, arêtes et autres zones présentant des imperfections</t>
    </r>
  </si>
  <si>
    <r>
      <t>ISO 12944-5-2018</t>
    </r>
    <r>
      <rPr>
        <i/>
        <sz val="10"/>
        <color rgb="FFFF0000"/>
        <rFont val="Calibri"/>
        <family val="2"/>
        <scheme val="minor"/>
      </rPr>
      <t xml:space="preserve"> Peintures et vernis — Anticorrosion des structures en acier par systèmes de peinture — Partie 5: Systèmes de peinture</t>
    </r>
  </si>
  <si>
    <r>
      <t xml:space="preserve">ISO 12944-2-2017 </t>
    </r>
    <r>
      <rPr>
        <i/>
        <sz val="10"/>
        <color rgb="FFFF0000"/>
        <rFont val="Calibri"/>
        <family val="2"/>
        <scheme val="minor"/>
      </rPr>
      <t>Peintures et vernis - Anticorrosion des structures en acier par systèmes de peinture - Partie 2 : Classification des environnements</t>
    </r>
  </si>
  <si>
    <t>TTH</t>
  </si>
  <si>
    <t>xx</t>
  </si>
  <si>
    <t xml:space="preserve">STO 00220368-025-2018 </t>
  </si>
  <si>
    <t>OST 26.260.3-2001</t>
  </si>
  <si>
    <t xml:space="preserve"> General Civil Specification</t>
  </si>
  <si>
    <t xml:space="preserve">General_Structural_Specification </t>
  </si>
  <si>
    <t>Climatic design version of the pump unit electrical equipment shall comply with GOST 15150-69../..
Centrifugal packless pumps with tandem mechanical seal and in justified cases with additional single face seal shall be used for HIL and FL discharge.
Centrifugal canned (packless) pumps or tandem mechanical seal pumps shall be used for liquefied petroleum gas.
Centrifugal pumps with single face seal shall be used for transfer of non-explosive and non firehazardous fluids of hazard Categories III and IV as per GOST 12.1.007-76
../..
For the pumps with rate above 300 m3/hr or number of stages more than 2, double-support structures shall be provided
../.. 
Cases of horizontal centrifugal pumps of all types shall have a support on the central line. It is allowed to use pumps on feet (type OH1 as per API 610 (or GOST 32601-2013) or type BB4 as per 610 (or GOST 32601-2013)) to transfer neutral fluids with temperature 150 ºС max.
To transfer fluids with temperature above 200ºС or density less than 700 kg/m3 by means of double-support pumps, only the pumps with radially-split casing (type ВВ2, ВВ5 per API 610 (or GOST 32601-2013))../..</t>
  </si>
  <si>
    <t>Cases of pumps transferring liquefied gases, flammable and combustible liquids shall be fitted with a grounding clamp as per GOST 21130-75 irrespective of the grounding of motors mounted on the same skid with the pumps.</t>
  </si>
  <si>
    <t>As a minimum, the driver power shall be equal to the rated shaft power at rated operating condition multiplied by the percentage shown below Table 3. Driver Power Increase Percentage:  kW Percent of Rated Shaft Power :
0-20 kW 125  / 20-50 kW 120 / 50-300 kW 115 puis 110 %</t>
  </si>
  <si>
    <t>Chap. 3.1.17 &amp; 18</t>
  </si>
  <si>
    <t>Pumps shall be fitted with an option to increase the head for at least 5 % under rated conditions by replacing the impeller (impellers) to impeller (impellers)of a bigger diameter or using another hydraulic design, variable speed or pump idle stage
Preferable operating range of centrifugal pumps 
shall be 70% to 120% of the rate, which corresponds 
to the maximum pump coefficient of efficiency. Nom-
inal head shall be 80% to 110% of the rate, which corresponds to the maximum pump coefficient of efficiency</t>
  </si>
  <si>
    <t>Chap. 2.3.4 &amp; 3.1.8 to 10 &amp; 12 &amp; 14</t>
  </si>
  <si>
    <t>The pump unit warranty period shall be at least 24 months from the beginning of service and at least 36 months since the moment of delivery</t>
  </si>
  <si>
    <t>Chap. 3.1.25</t>
  </si>
  <si>
    <t>P 12/34</t>
  </si>
  <si>
    <t>All pressure parts of the case shall be rated at the maximum allowed operating pressure 
The minimum value of the maximum allowed operating pressure shall be at least 4,0 MPa for radially split pumps and at least 2,0 MPa for horizontally split 
pumps.
Corrosion allowance for the pump case shall be 
designed based on the pump service life at least 20 
years and equal to 3 mm as the minimum. 
The pump radial split shall have tight metal-to-
metal fit using seals with limited controllable com-
pression, for instance, circular seal or spiral-wound 
gaskets
../.. for cantilever pumps...</t>
  </si>
  <si>
    <t>Impeller / Bearing</t>
  </si>
  <si>
    <t>3.4.1 Impellers shall have slot connection to the shaft. 
Pin connection is not allowed ../..
3.4.2 Impellers shall be solid cast or forged. 
3.4.3 Maximum allowed radial runout of the shaft shall be max. 0,025 mm (in any point)
3.5.1 Bearings shall be air-cooled. Water cooling is allowed in exceptional and justified cases approved by the Client. If water cooling is required, cooling coils shall be preferable. The coils (including fittings) shall be manufactured of non-ferrous metal or austenite SS ../..</t>
  </si>
  <si>
    <t>Chap. 3.4 &amp; 3.5</t>
  </si>
  <si>
    <t>P 13/34</t>
  </si>
  <si>
    <t>3.5.7 The pump equipment shall be provided with a bearings state monitoring system</t>
  </si>
  <si>
    <t>P 14/34</t>
  </si>
  <si>
    <t>For the services containing H2S, HCl, moisture, caustic, follow the requirements of NACE MR0103, NACE MR0175, it. 6.12.1.12 API 610 (or GOST 32601-2013). ../..
As required (for the fluids causing corrosion cracking), heat treatment shall be used for the wetted part. ../..
For operation at high temperatures in aggressive services, use chromium-molybdenum, ferritic, austenitic steels.
For austenite and austenite-ferritic steels or alloys (as required), requirements for resistance to the intercrystallite corrosion (ICC) of layer shall be provided including the test method as per GOST 6032-2017/ASTM A262-2015/ISO 3651/1,2. 
../..
3.5.6 The pump design shall ensure the option for in
stallation of the bearing temperature transmitters. 
../..
3.5.7.1 The case of each pump and motor bearing assembly shall be provided (by Vendor) a threaded connection hole for a shock-pulse and vibration sensor
../..
3.6.1 The pump design shall include replaceable slot packing rings for the case and impeller
../..</t>
  </si>
  <si>
    <t>Chap. 2.3.7 &amp; 2.4.5 à 7 &amp; 3.5.6 &amp; 3.5.7.1 &amp; 3.6.1</t>
  </si>
  <si>
    <t>Seals</t>
  </si>
  <si>
    <t>3.7.1 Cooling, flushing of face seal, chambers of face seals piping layouts shall comply with API 682. 
3.7.2 The seal type (double face, single) shall be in accordance with data sheets attached to the Purchase Requisition. 
3.7.3 Face seals by ZAO "TRAM Engineering", "EagleBurgmann" and “John Crane” shall be used
3.7.4 Use of face seals combined with the cooling system ensuring the fluid temperature in the sealing zone corresponding to thermal resistance of the sealing parts is allowed
3.7.5 The pump secondary face seals shall be chemically resistant to the pumped fluid, corrosion and thermal resistant at the maximum allowed temperature of the sealing fluid
../..
3.7.9 The heat exchanger material shall be selected based on corrosion properties of sealing and cooling liquid. If circulating water shall be used as cooling water, it is recommended to use heat exchangers manufactured of stainless steel 12Х18Н10Т (type 321 per AISI) ../..
3.7.15 Piping diagrams as per plan 52 or 53 of API 682 shall be the most effective and justified for bellows face seals or spring seals with refrigeration package.</t>
  </si>
  <si>
    <t>Chap. 3.7</t>
  </si>
  <si>
    <t>P 16/34</t>
  </si>
  <si>
    <t>3.8 SLEEVES AND GUARDS ../..</t>
  </si>
  <si>
    <r>
      <t xml:space="preserve">1. GOST 32601-2013 Centrifugal Pumps for Oil, Petrochemical and Gas Production Facilities. </t>
    </r>
    <r>
      <rPr>
        <sz val="11"/>
        <color theme="1"/>
        <rFont val="Times New Roman"/>
        <family val="1"/>
      </rPr>
      <t>General Safety Requirements</t>
    </r>
  </si>
  <si>
    <r>
      <t xml:space="preserve">2. GOST 12.1.007-76 </t>
    </r>
    <r>
      <rPr>
        <sz val="11"/>
        <color theme="1"/>
        <rFont val="Times New Roman"/>
        <family val="1"/>
      </rPr>
      <t>Occupational Safety Standards System</t>
    </r>
    <r>
      <rPr>
        <sz val="11"/>
        <color rgb="FF000000"/>
        <rFont val="Times New Roman"/>
        <family val="1"/>
      </rPr>
      <t>. Harmful Substances. Safety Classification and General Requirements</t>
    </r>
  </si>
  <si>
    <r>
      <t xml:space="preserve">3. GOST 12.1.003-2014 </t>
    </r>
    <r>
      <rPr>
        <sz val="11"/>
        <color theme="1"/>
        <rFont val="Times New Roman"/>
        <family val="1"/>
      </rPr>
      <t>Occupational Safety Standards System. Noise. General Safety Requirements</t>
    </r>
  </si>
  <si>
    <r>
      <t xml:space="preserve">4. GOST 12.1.012-2004 </t>
    </r>
    <r>
      <rPr>
        <sz val="11"/>
        <color theme="1"/>
        <rFont val="Times New Roman"/>
        <family val="1"/>
      </rPr>
      <t>Occupational Safety Standards System</t>
    </r>
    <r>
      <rPr>
        <sz val="11"/>
        <color rgb="FF000000"/>
        <rFont val="Times New Roman"/>
        <family val="1"/>
      </rPr>
      <t xml:space="preserve">. Vibration Safety. </t>
    </r>
    <r>
      <rPr>
        <sz val="11"/>
        <color theme="1"/>
        <rFont val="Times New Roman"/>
        <family val="1"/>
      </rPr>
      <t>General Requirements</t>
    </r>
  </si>
  <si>
    <r>
      <t xml:space="preserve">5. GOST 12.2.003-91 </t>
    </r>
    <r>
      <rPr>
        <sz val="11"/>
        <color theme="1"/>
        <rFont val="Times New Roman"/>
        <family val="1"/>
      </rPr>
      <t>Occupational Safety Standards System</t>
    </r>
    <r>
      <rPr>
        <sz val="11"/>
        <color rgb="FF000000"/>
        <rFont val="Times New Roman"/>
        <family val="1"/>
      </rPr>
      <t xml:space="preserve">. Production Equipment. </t>
    </r>
    <r>
      <rPr>
        <sz val="11"/>
        <color theme="1"/>
        <rFont val="Times New Roman"/>
        <family val="1"/>
      </rPr>
      <t>General Safety Requirements</t>
    </r>
  </si>
  <si>
    <r>
      <t xml:space="preserve">6. GOST 12.1.023-80 </t>
    </r>
    <r>
      <rPr>
        <sz val="11"/>
        <color theme="1"/>
        <rFont val="Times New Roman"/>
        <family val="1"/>
      </rPr>
      <t>Occupational Safety Standards System</t>
    </r>
    <r>
      <rPr>
        <sz val="11"/>
        <color rgb="FF000000"/>
        <rFont val="Times New Roman"/>
        <family val="1"/>
      </rPr>
      <t>. Noise. Methods of Specifying Noise Characteristics of Stationary Machinery</t>
    </r>
  </si>
  <si>
    <r>
      <t xml:space="preserve">7. GOST 12.2.044-80 </t>
    </r>
    <r>
      <rPr>
        <sz val="11"/>
        <color theme="1"/>
        <rFont val="Times New Roman"/>
        <family val="1"/>
      </rPr>
      <t>Occupational Safety Standards System</t>
    </r>
    <r>
      <rPr>
        <sz val="11"/>
        <color rgb="FF000000"/>
        <rFont val="Times New Roman"/>
        <family val="1"/>
      </rPr>
      <t xml:space="preserve">. Oil Transportation Machinery and Facilities. </t>
    </r>
    <r>
      <rPr>
        <sz val="11"/>
        <color theme="1"/>
        <rFont val="Times New Roman"/>
        <family val="1"/>
      </rPr>
      <t>Safety Requirements</t>
    </r>
  </si>
  <si>
    <r>
      <t xml:space="preserve">8. GOST 12.2.049-80 </t>
    </r>
    <r>
      <rPr>
        <sz val="11"/>
        <color theme="1"/>
        <rFont val="Times New Roman"/>
        <family val="1"/>
      </rPr>
      <t>Occupational Safety Standards System</t>
    </r>
    <r>
      <rPr>
        <sz val="11"/>
        <color rgb="FF000000"/>
        <rFont val="Times New Roman"/>
        <family val="1"/>
      </rPr>
      <t xml:space="preserve">. Production Equipment. </t>
    </r>
    <r>
      <rPr>
        <sz val="11"/>
        <color theme="1"/>
        <rFont val="Times New Roman"/>
        <family val="1"/>
      </rPr>
      <t>General Ergonomics Requirements</t>
    </r>
  </si>
  <si>
    <t>9. GOST 15150-69 Machines, Instruments and Others Industrial Items. Modifications for Various Climatic Regions. Categories, Operating, Storage and Shipping Conditions with respect to Environmental Climatic Effects</t>
  </si>
  <si>
    <r>
      <t xml:space="preserve">10. GOST 2405-88 Pressure Gauges, Vacuum Gauges, Pressure-and-Vacuum Gauges, Draught Gauges and Draught-and-Pressure Gauges. </t>
    </r>
    <r>
      <rPr>
        <sz val="11"/>
        <color theme="1"/>
        <rFont val="Times New Roman"/>
        <family val="1"/>
      </rPr>
      <t>General Specifications</t>
    </r>
  </si>
  <si>
    <r>
      <t xml:space="preserve">11. GOST 6616-94 Thermoelectric Transducers. </t>
    </r>
    <r>
      <rPr>
        <sz val="11"/>
        <color theme="1"/>
        <rFont val="Times New Roman"/>
        <family val="1"/>
      </rPr>
      <t>General Specifications</t>
    </r>
  </si>
  <si>
    <r>
      <t>12. GOST 14254-2015 (</t>
    </r>
    <r>
      <rPr>
        <sz val="11"/>
        <color theme="1"/>
        <rFont val="Times New Roman"/>
        <family val="1"/>
      </rPr>
      <t>IEC 60529:2013</t>
    </r>
    <r>
      <rPr>
        <sz val="11"/>
        <color rgb="FF000000"/>
        <rFont val="Times New Roman"/>
        <family val="1"/>
      </rPr>
      <t>) Degrees of Ingress Protection (IP Code).</t>
    </r>
  </si>
  <si>
    <r>
      <t xml:space="preserve">13. GOST 31839-2012 (ЕН 809:1998) Fluid Transfer Pumps and Pump Units. </t>
    </r>
    <r>
      <rPr>
        <sz val="11"/>
        <color theme="1"/>
        <rFont val="Times New Roman"/>
        <family val="1"/>
      </rPr>
      <t>General Safety Requirements</t>
    </r>
  </si>
  <si>
    <r>
      <t xml:space="preserve">14. GOST 28725-90 Fluid and Bulk Materials Level Instruments. </t>
    </r>
    <r>
      <rPr>
        <sz val="11"/>
        <color theme="1"/>
        <rFont val="Times New Roman"/>
        <family val="1"/>
      </rPr>
      <t>General Technical Requirements</t>
    </r>
    <r>
      <rPr>
        <sz val="11"/>
        <color rgb="FF000000"/>
        <rFont val="Times New Roman"/>
        <family val="1"/>
      </rPr>
      <t xml:space="preserve"> and Test Methods.</t>
    </r>
  </si>
  <si>
    <t>15. GOST 30852.5-2002 Explosion-Proof Electrical Equipment. Part 4. Self-Ignition Temperature Specifying Method</t>
  </si>
  <si>
    <t>16. GOST 30852.9-2002 (МЭК 60079-10:1995) Explosion-Proof Electrical Equipment. Part 10. Classification of Explosion Hazardous Zones</t>
  </si>
  <si>
    <t>17. GOST 30852.11-2002 (МЭК 60079-12:1978) Explosion-Proof Electrical Equipment. Part 12. Classification of Gas / Steam and Air Mixtures with Consideration of Safe Experimental Maximum Clearances and Minimum Igniting Currents</t>
  </si>
  <si>
    <t>18. GOST 30852.19-2002 (МЭК 60079-20:1996) Explosion-Proof Electrical Equipment. Part 20. Fuel Gas and Steam Data Related to Electrical Equipment Operation</t>
  </si>
  <si>
    <t>19. Federal Industrial Safety Norms and Regulations "Safety Regulations for Oil and Gas Refineries"</t>
  </si>
  <si>
    <t>20. Safety Manual "Recommendations for Safe Operation of Process Piping"</t>
  </si>
  <si>
    <t>21. Federal Industrial Safety Norms and Regulations "General Explosion Safety Regulations for Explosion and Fire Hazardous Chemical, Petrochemical and Oil Refining Production Facilities</t>
  </si>
  <si>
    <r>
      <t xml:space="preserve">22. </t>
    </r>
    <r>
      <rPr>
        <sz val="11"/>
        <color theme="1"/>
        <rFont val="Times New Roman"/>
        <family val="1"/>
      </rPr>
      <t>EIC (PUE) Electrical Installations Code</t>
    </r>
    <r>
      <rPr>
        <sz val="11"/>
        <color rgb="FF000000"/>
        <rFont val="Times New Roman"/>
        <family val="1"/>
      </rPr>
      <t>. Edition 7.</t>
    </r>
  </si>
  <si>
    <t>23. GOST 14202-69 Industrial Production Piping. Identification Painting, Warning Signs and Nameplates.</t>
  </si>
  <si>
    <t>24. GOST 356-80 (ST SEV 253-76) Piping Valves and Parts. Design, Tests and Operating Pressure. Series.</t>
  </si>
  <si>
    <t>25. GOST 33259-2015. Flanges of Valves, Connection Parts and Piping Rated at Design Pressure up to PN 250.  Design, Sizes and General Technical Requirements.</t>
  </si>
  <si>
    <r>
      <t xml:space="preserve">26. </t>
    </r>
    <r>
      <rPr>
        <sz val="11"/>
        <color theme="1"/>
        <rFont val="Times New Roman"/>
        <family val="1"/>
      </rPr>
      <t>ТR ТS 010/2011 Technical Regulation of the Customs Union On Safety of Machines and Equipment</t>
    </r>
  </si>
  <si>
    <r>
      <t xml:space="preserve">27. </t>
    </r>
    <r>
      <rPr>
        <sz val="11"/>
        <color theme="1"/>
        <rFont val="Times New Roman"/>
        <family val="1"/>
      </rPr>
      <t>ТR ТS 012/2011 Technical Regulation of the Customs Union On Safety of Equipment to be Operated in Explosion Hazardous Environment</t>
    </r>
  </si>
  <si>
    <r>
      <t xml:space="preserve">28. </t>
    </r>
    <r>
      <rPr>
        <sz val="11"/>
        <color theme="1"/>
        <rFont val="Times New Roman"/>
        <family val="1"/>
      </rPr>
      <t xml:space="preserve">ТR ТS </t>
    </r>
    <r>
      <rPr>
        <sz val="11"/>
        <color rgb="FF000000"/>
        <rFont val="Times New Roman"/>
        <family val="1"/>
      </rPr>
      <t xml:space="preserve">030/2012 </t>
    </r>
    <r>
      <rPr>
        <sz val="11"/>
        <color theme="1"/>
        <rFont val="Times New Roman"/>
        <family val="1"/>
      </rPr>
      <t>Technical Regulation of the Customs Union On</t>
    </r>
    <r>
      <rPr>
        <sz val="11"/>
        <color rgb="FF000000"/>
        <rFont val="Times New Roman"/>
        <family val="1"/>
      </rPr>
      <t xml:space="preserve"> Requirements for Lubrication Materials, Oils and Special Liquids.</t>
    </r>
  </si>
  <si>
    <t>29. GOST R 54804-2011 Centrifugal Pumps. General Requirements. Class III.</t>
  </si>
  <si>
    <t>30. GOST R 54805-2011 Centrifugal Pumps. General Requirements. Class II.</t>
  </si>
  <si>
    <t>31. GOST R 54806-2011 Centrifugal Pumps. General Requirements. Class I.</t>
  </si>
  <si>
    <t>32. PBE NP-2001 Rules for Safe Operation and Labor Safety for Oil Refineries</t>
  </si>
  <si>
    <t>33. GOST R 54122-2010 Safety of Machinery and Equipment. Safe Case Requirements</t>
  </si>
  <si>
    <t>34. GOST ISO 17769-1-2014 Fluid Pumps and Units. Basic Terms, Definitions, Quantitative Units, Alphabetical Symbols and Units of Measurements. Part 1. Fluid Pumps.</t>
  </si>
  <si>
    <r>
      <t xml:space="preserve">35. </t>
    </r>
    <r>
      <rPr>
        <sz val="11"/>
        <color rgb="FF000000"/>
        <rFont val="Times New Roman"/>
        <family val="1"/>
      </rPr>
      <t xml:space="preserve">GOST </t>
    </r>
    <r>
      <rPr>
        <sz val="11"/>
        <color theme="1"/>
        <rFont val="Times New Roman"/>
        <family val="1"/>
      </rPr>
      <t>30691-2001 (ISO 4871-96) Noise of Machineries.</t>
    </r>
  </si>
  <si>
    <r>
      <t xml:space="preserve">35. </t>
    </r>
    <r>
      <rPr>
        <sz val="11"/>
        <color rgb="FF000000"/>
        <rFont val="Times New Roman"/>
        <family val="1"/>
      </rPr>
      <t xml:space="preserve">GOST </t>
    </r>
    <r>
      <rPr>
        <sz val="11"/>
        <color theme="1"/>
        <rFont val="Times New Roman"/>
        <family val="1"/>
      </rPr>
      <t>6032-2017 Interstate Standard. Corrosion-Resistant Steels and Alloys. ICC Test Methods.</t>
    </r>
  </si>
  <si>
    <t>36. NACE MR0103-2012 Materials Resistant to Sulphide Stress Cracking in Corrosive Petroleum Refining Environments.</t>
  </si>
  <si>
    <t>37. NACE MR0175 Petroleum and Natural Gas Industries. Materials for Use in H2S-Containing Environments in Oil and Gas Production</t>
  </si>
  <si>
    <t>38. ASTM A262-2015 Standard Practices for Detecting Susceptibility to Intergranular Attack in Austenitic Stainless Steel.</t>
  </si>
  <si>
    <t>39. API 610 Centrifugal Pumps for Petroleum, Petrochemical and Natural Gas Industries.</t>
  </si>
  <si>
    <r>
      <t xml:space="preserve">40. </t>
    </r>
    <r>
      <rPr>
        <sz val="11"/>
        <color rgb="FF000000"/>
        <rFont val="Times New Roman"/>
        <family val="1"/>
      </rPr>
      <t xml:space="preserve">GOST </t>
    </r>
    <r>
      <rPr>
        <sz val="11"/>
        <color theme="1"/>
        <rFont val="Times New Roman"/>
        <family val="1"/>
      </rPr>
      <t>R 52797.1-2007 (ISO 11690-1:1996) Acoustics. Recommended Practice for Design of Low-Noise Workplaces Containing Machinery</t>
    </r>
  </si>
  <si>
    <t>41. SanPin 2.2.4.3359-16 Sanitary-Epidemiological Requirements for Physical Factors of Workplaces</t>
  </si>
  <si>
    <r>
      <t xml:space="preserve">42. </t>
    </r>
    <r>
      <rPr>
        <sz val="11"/>
        <color rgb="FF000000"/>
        <rFont val="Times New Roman"/>
        <family val="1"/>
      </rPr>
      <t xml:space="preserve">GOST </t>
    </r>
    <r>
      <rPr>
        <sz val="11"/>
        <color theme="1"/>
        <rFont val="Times New Roman"/>
        <family val="1"/>
      </rPr>
      <t xml:space="preserve">51330.0-2002 </t>
    </r>
    <r>
      <rPr>
        <sz val="11"/>
        <color rgb="FF000000"/>
        <rFont val="Times New Roman"/>
        <family val="1"/>
      </rPr>
      <t>Explosion-Proof Electrical Equipment</t>
    </r>
  </si>
  <si>
    <r>
      <t xml:space="preserve">43. </t>
    </r>
    <r>
      <rPr>
        <sz val="11"/>
        <color rgb="FF000000"/>
        <rFont val="Times New Roman"/>
        <family val="1"/>
      </rPr>
      <t xml:space="preserve">GOST </t>
    </r>
    <r>
      <rPr>
        <sz val="11"/>
        <color theme="1"/>
        <rFont val="Times New Roman"/>
        <family val="1"/>
      </rPr>
      <t>12.1.029-80 Occupational Safety Standards System. Noise Protection Facilities and Methods.</t>
    </r>
  </si>
  <si>
    <r>
      <t xml:space="preserve">44. </t>
    </r>
    <r>
      <rPr>
        <sz val="11"/>
        <color rgb="FF000000"/>
        <rFont val="Times New Roman"/>
        <family val="1"/>
      </rPr>
      <t xml:space="preserve">GOST </t>
    </r>
    <r>
      <rPr>
        <sz val="11"/>
        <color theme="1"/>
        <rFont val="Times New Roman"/>
        <family val="1"/>
      </rPr>
      <t>21130-75 Ground Terminals and Signs</t>
    </r>
  </si>
  <si>
    <t>39. API 675 Displacement Pumps for Oil, Petrochemical and Gas Industry</t>
  </si>
  <si>
    <t>45. API 682 Pumps – Shaft Sealing for Centrifugal and Rotating Pumps.</t>
  </si>
  <si>
    <t>- pump bearings temperature</t>
  </si>
  <si>
    <t>- motor bearings temperature</t>
  </si>
  <si>
    <t>- motor stator winding temperature</t>
  </si>
  <si>
    <t xml:space="preserve"> - vibration of the pump bearing assemblies</t>
  </si>
  <si>
    <t>- vibration of the motor bearing assemblies.</t>
  </si>
  <si>
    <t>3.5.7 The pump equipment shall be provided with a 
bearings state monitoring system
3.9.1 The requirement for monitoring particular parameters of the pump and its components operation by the respective instruments shall be determined by the Client in the Material Requisition (data sheets, design specifications etc.) indicating locations of instruments or automatic monitoring transmitters. As a rule, the following parameters shall be monitored:
- pump bearings temperature
- motor bearings temperature
- motor stator winding temperature 
- vibration of the pump bearing assemblies
- vibration of the motor bearing assemblies.
3.9.2 If a pump is equipped with double face seal :
- pressure in the buffer fluid tank
- level in the buffer fluid tank 
- temperature of the buffer fluid tank</t>
  </si>
  <si>
    <t>Chap. 3.5.7 &amp; 3.9</t>
  </si>
  <si>
    <t>P 19/34</t>
  </si>
  <si>
    <t>P 20/34</t>
  </si>
  <si>
    <t>4.2 PISTON PUMPS
../..4.2.2 Piston pumps shall meet the requirements of API 674.
../..</t>
  </si>
  <si>
    <t>P 21/34</t>
  </si>
  <si>
    <t>4.3 DOSING PUMPS
4.3.1 Dosing (dispensing) pump is a pump ensuring the fluid supply with the preset accuracy. Dosing pumps (of piston and diaphragm types) shall meet the requirements of API 675../..
../..</t>
  </si>
  <si>
    <t>4. DISPLACEMENT PUMPS
../..</t>
  </si>
  <si>
    <t>../..
3.10.2 All the pump case pressure parts shall be subjected to hydrotest including temperature adjustment related to the maximum operating temperature, at that, the hydrotest pressure shall be at least 1,5-fold of the maximum allowed operating pressure
3.10.3 The hydrotest is considered a success, if no leaks or drips through the pressure parts were observed during at least 30 minutes. In justified cases, the test shall be prolonged longer as approved by the Client and Vendor
../..
3.10.5 Each pump shall be subjected to performance (parameter). Water of temperature 65 ºС maximum shall be used for the performance testing.
../..
3.10.10 The cavitation testing shall be performed, if the difference between the required positive suction head of the centrifugal pump and available positive suction pressure of the system is equal to 0,5 – 1,0 m or, in another case, by the Client request
../..
4.4.2 Tests shall be carried out in accordance with 
GOST 17335-79 Displacement Pump. Acceptance 
and Test Methods../..</t>
  </si>
  <si>
    <t>electrical equipment of Pumps</t>
  </si>
  <si>
    <t>../..5.2 Flanged joints facing as per Attachment 3
5.3 Detail requirements for piping, pipe joints and 
shut-off valves are summarized in doc. Piping Design 
Specification GCC-CC7-PF-00000-PI-TSP-6002</t>
  </si>
  <si>
    <t>P 23/34</t>
  </si>
  <si>
    <t xml:space="preserve"> 6. ELECTRICAL EQUIPMENT </t>
  </si>
  <si>
    <t xml:space="preserve">6.1 Все электрооборудование, входящее в состав </t>
  </si>
  <si>
    <t xml:space="preserve">насосного агрегата должно отвечать следующим </t>
  </si>
  <si>
    <t xml:space="preserve">техническим требованиям: </t>
  </si>
  <si>
    <t xml:space="preserve">6.1 All electrical equipment of the pump unit shall </t>
  </si>
  <si>
    <t xml:space="preserve">meet the following technical requirements: </t>
  </si>
  <si>
    <t xml:space="preserve">6.2 Технические требования на электродвигатели </t>
  </si>
  <si>
    <t xml:space="preserve">№ GCC-CC7-PF-00000-EL-TSP-9004. </t>
  </si>
  <si>
    <t>6.2 Electrical Motors Specification GCC-CC7-PF-</t>
  </si>
  <si>
    <t xml:space="preserve">00000-EL-TSP-9004. </t>
  </si>
  <si>
    <t xml:space="preserve">6.3 Технические требования на низковольтные </t>
  </si>
  <si>
    <t>частотно-регулируемые приводы № GCC-CC7-</t>
  </si>
  <si>
    <t xml:space="preserve">PF-00000-EL-TSP-9002. </t>
  </si>
  <si>
    <t xml:space="preserve">6.3 Low Voltage Variable Speed Drives Specification </t>
  </si>
  <si>
    <t xml:space="preserve">GCC-CC7-PF-00000-EL-TSP-9002. </t>
  </si>
  <si>
    <t>6.4 Технические требования на частотно-регули-</t>
  </si>
  <si>
    <t>руемый привод среднего напряжения № GCC-</t>
  </si>
  <si>
    <t xml:space="preserve">CC7-PF-00000-EL-TSP-9009. </t>
  </si>
  <si>
    <t xml:space="preserve">Medium Voltage Variable Speed Drives Specification </t>
  </si>
  <si>
    <t>GCC-CC7-PF-00000-EL-TSP-9009</t>
  </si>
  <si>
    <t xml:space="preserve">6.3 Low Voltage Variable Speed Drives Specification GCC-CC7-PF-00000-EL-TSP-9002. Medium Voltage Variable Speed Drives Specification </t>
  </si>
  <si>
    <t xml:space="preserve">6.1 All electrical equipment of the pump unit shall meet the following technical requirements: 6.2 Electrical Motors Specification GCC-CC7-PF-00000-EL-TSP-9004. 6.3 Low Voltage Variable Speed Drives Specification GCC-CC7-PF-00000-EL-TSP-9002. Medium Voltage Variable Speed Drives Specification </t>
  </si>
  <si>
    <t>All electrical equipment of the pump unit shall meet the following technical requirements: 
- Electrical Motors Specification GCC-CC7-PF-00000-EL-TSP-9004. 
- Low Voltage Variable Speed Drives Specification GCC-CC7-PF-00000-EL-TSP-9002. 
- Medium Voltage Variable Speed Drives Specification GCC-CC7-PF-00000-EL-TSP-9009</t>
  </si>
  <si>
    <t>Instrument for pumps</t>
  </si>
  <si>
    <t xml:space="preserve">1 Numbering Requirements for Instrumentation and Equipment GCC-CC7-PF-00000-TE-TSP-8004.
2 Specification for Machine Protection (MPS) and Conditioning Monitoring (CMS) Systems GCC-CC7-PF-00000-IN-TSP-8010.
3 Instrument Cables Specification GCC-CC7-PF-00000-IN-TSP-8011.
4 Instrument Design Specification (requirements for design and engineering activities, fabrication and testing of the Instrumentation) GCC-CC7-PF-00000-IN-TSP-8013.
5 Instrument connection boxes to be mounted on the skid shall be located within the Pump Unit Battery Limits. 
</t>
  </si>
  <si>
    <t>P 24/34</t>
  </si>
  <si>
    <t xml:space="preserve">8.1 Pumps shall be supplied with a set of spare parts, taking into account the following requirements: 
- mechanical warranty period of 24 months since placed in service or 36 months from the date of delivery (whatever occurs earlier); 
- preservation of the unit – 3 years (minimum); 
- time between repairs of the unit and equipment included- the period shall correspond to a minimum 4-year run, taking into account the risk-oriented actual state approach (RBI and RCM methodology).
The equipment Vendor shall ensure spare parts for individual testing, start-up, complex testing and warranty service period.
Spare parts shall be prepared for long-term storage.
</t>
  </si>
  <si>
    <t>../..Equivalent sound level of Workplaces shall not xceed 
80 dBa as per Annex 6 to SanPin 2.2.4.3359-16 “Sanitary-Epidemiological Requirements for Physical Factors of Workplaces”../..</t>
  </si>
  <si>
    <t>suite</t>
  </si>
  <si>
    <t xml:space="preserve">The requirement for inter-crystalline corrosion resistance (ICC) of the base metal (or cladding layer) and welds with indication of the ICC test method according to GOST 6032-2017 / ASTM A262-2015 / ISO 3651 / 1,2 shall be specified in the documents (general view drawings, assembly drawings, data sheets) for equipment and vessels using stainless corrosion-resistant steels and alloys (austenitic, austenitic-ferritic, ferritic).  </t>
  </si>
  <si>
    <t>Design Thermique</t>
  </si>
  <si>
    <t>PVV design</t>
  </si>
  <si>
    <t xml:space="preserve"> This specification defines the minimum requirements for the engineering, material, design, manufacturing, inspection, testing and preparation for transportation and supply of mechanical equipment as part of the Contractors scope of supply and is also an addition to the regulatory documents used for the mechanical equipment development. The assigned pre-FEED, FEED and or EP Contractor shall adhere to the requirements as listed in this document</t>
  </si>
  <si>
    <r>
      <t>The term</t>
    </r>
    <r>
      <rPr>
        <b/>
        <sz val="12"/>
        <color theme="1"/>
        <rFont val="Calibri"/>
        <family val="2"/>
        <scheme val="minor"/>
      </rPr>
      <t xml:space="preserve"> "mechanical equipment"</t>
    </r>
    <r>
      <rPr>
        <sz val="11"/>
        <color theme="1"/>
        <rFont val="Calibri"/>
        <family val="2"/>
        <scheme val="minor"/>
      </rPr>
      <t xml:space="preserve"> as used herein includes but is not limited to rotating equipment (pumps, fans, blowers, compressors, turbines etc.), fired equipment (furnaces, flares etc.) packaged equipment, heating, ventilation and air conditioning equipment, static inline mixers, 
agitators, ejectors, vacuum jets, cranes, elevators and drive components (gears, couplings etc.), vessels, heat exchangers, air coolers, tanks, spheres and filters. 
The term </t>
    </r>
    <r>
      <rPr>
        <b/>
        <sz val="12"/>
        <color theme="1"/>
        <rFont val="Calibri"/>
        <family val="2"/>
        <scheme val="minor"/>
      </rPr>
      <t>"vessels"</t>
    </r>
    <r>
      <rPr>
        <sz val="11"/>
        <color theme="1"/>
        <rFont val="Calibri"/>
        <family val="2"/>
        <scheme val="minor"/>
      </rPr>
      <t xml:space="preserve"> as used herein includes but is not limited to (pressurized or nonpressurized) drums, vessels, tanks, reactors, towers, columns, splitters, spheres. However it does not include: heat exchangers, air coolers and filters</t>
    </r>
  </si>
  <si>
    <t>../..
 requirements as described in “Winterization Philosophy” document No. BBC-CC7-00000-ENG-TSP-5005.</t>
  </si>
  <si>
    <t xml:space="preserve">9.0 UTILITIES, INFRASTRUCTURE AND OFF-SITES
9.1 Transportation Systems
9.2 Container Yard 
9.3 Steam and Related Systems (ECU scope) 
9.4 Building Heating 
9.5 Flares 
9.6 Storage 
9.7 Potable Water 
9.8 Cooling Water 
9.9 Plant Water </t>
  </si>
  <si>
    <t>Each equipment item (or the equipment component skid) shall be provided with lugs, lifting rings or equivalent devices to facilitate handling of the weight that exceeds 20kg, or when its size would be such that normal handling is not possible 
../..
Spreader bars for mounting heavy critical equipment (for instance rotors of large compressors) shall be designed and delivered together with the equipment../..</t>
  </si>
  <si>
    <t>../.. Metal unpainted surfaces of vessels supplied fully assembled, as well as oversized supply parts, components and assembly units included in the scope of supply, shall be preserved in accordance with the requirements of GOST 9.014 to ensure protection against corrosion during transportation, storage and installation for at least 24 months from the date of shipment from the manufacturer's plant../..</t>
  </si>
  <si>
    <t>PM</t>
  </si>
  <si>
    <t>H2S</t>
  </si>
  <si>
    <t>Paint</t>
  </si>
  <si>
    <t>Cal</t>
  </si>
  <si>
    <t>weld</t>
  </si>
  <si>
    <t>TT</t>
  </si>
  <si>
    <t>mat</t>
  </si>
  <si>
    <t>garanties</t>
  </si>
  <si>
    <t>protection</t>
  </si>
  <si>
    <t>Surfaces of the equipment made of corrosion-resistant materials shall be protected against rust from the inner side. It shall be ensured by placing moisture-absorbing materials inside the equipment or use of nitrogen blanket. The nitrogen-filled equipment shall be provided with warning signs close to every nozzle connection and sight glass. The warning signs shall be in Russian and English</t>
  </si>
  <si>
    <t>GCC-CC7-00000-ENG-TSP-
5007</t>
  </si>
  <si>
    <t>Design_Specifications_for_Vessels_and_Apparatuses</t>
  </si>
  <si>
    <t>RFQ Thin Exch</t>
  </si>
  <si>
    <t>GOST 17335-79</t>
  </si>
  <si>
    <t>GOST 25822-83</t>
  </si>
  <si>
    <t>GOST 28759.1-90</t>
  </si>
  <si>
    <t>GOST 30691-2001</t>
  </si>
  <si>
    <t>GOST 31842-2012</t>
  </si>
  <si>
    <t>GOST 33259-2015</t>
  </si>
  <si>
    <t>GOST 34283-2017</t>
  </si>
  <si>
    <t>Nace</t>
  </si>
  <si>
    <t xml:space="preserve">PUE </t>
  </si>
  <si>
    <t>Electrical Installation Code, 6th, 7th Edition:  Installation Instructions for Electrical Equipment for Power and 
Lighting Networks in Hazardous Areas</t>
  </si>
  <si>
    <t>For instrumentation</t>
  </si>
  <si>
    <t>AML</t>
  </si>
  <si>
    <r>
      <t xml:space="preserve">Approved Manufacturing List </t>
    </r>
    <r>
      <rPr>
        <sz val="10"/>
        <color rgb="FF000000"/>
        <rFont val="Times New Roman"/>
        <family val="1"/>
      </rPr>
      <t>Список утвержденных производителей</t>
    </r>
  </si>
  <si>
    <r>
      <t xml:space="preserve">American petroleum Institute </t>
    </r>
    <r>
      <rPr>
        <sz val="10"/>
        <color rgb="FF000000"/>
        <rFont val="Times New Roman"/>
        <family val="1"/>
      </rPr>
      <t>Американский институт нефти</t>
    </r>
  </si>
  <si>
    <r>
      <t xml:space="preserve">ASME </t>
    </r>
    <r>
      <rPr>
        <sz val="10"/>
        <color rgb="FF000000"/>
        <rFont val="Times New Roman"/>
        <family val="1"/>
      </rPr>
      <t>Стандарт ASME</t>
    </r>
  </si>
  <si>
    <r>
      <t xml:space="preserve">American Society of Mechanical Engineers </t>
    </r>
    <r>
      <rPr>
        <sz val="10"/>
        <color rgb="FF000000"/>
        <rFont val="Times New Roman"/>
        <family val="1"/>
      </rPr>
      <t>Американское общество инженеров-механиков</t>
    </r>
  </si>
  <si>
    <t>ASTM</t>
  </si>
  <si>
    <r>
      <t xml:space="preserve">American Society for Testing and Materials </t>
    </r>
    <r>
      <rPr>
        <sz val="10"/>
        <color rgb="FF000000"/>
        <rFont val="Times New Roman"/>
        <family val="1"/>
      </rPr>
      <t>Американское общество по испытанию материалов</t>
    </r>
  </si>
  <si>
    <t xml:space="preserve">ООО «БХК» </t>
  </si>
  <si>
    <t>BCC LLC</t>
  </si>
  <si>
    <r>
      <t xml:space="preserve">Client </t>
    </r>
    <r>
      <rPr>
        <sz val="10"/>
        <color rgb="FF000000"/>
        <rFont val="Times New Roman"/>
        <family val="1"/>
      </rPr>
      <t>Со стороны Заказчика</t>
    </r>
  </si>
  <si>
    <r>
      <t xml:space="preserve">DCS </t>
    </r>
    <r>
      <rPr>
        <sz val="10"/>
        <color rgb="FF000000"/>
        <rFont val="Times New Roman"/>
        <family val="1"/>
      </rPr>
      <t>РСУ</t>
    </r>
  </si>
  <si>
    <r>
      <t xml:space="preserve">Distributed Control System </t>
    </r>
    <r>
      <rPr>
        <sz val="10"/>
        <color rgb="FF000000"/>
        <rFont val="Times New Roman"/>
        <family val="1"/>
      </rPr>
      <t>Распределенная система управления</t>
    </r>
  </si>
  <si>
    <t>DPDT</t>
  </si>
  <si>
    <r>
      <t xml:space="preserve">Double Pole Double Throw </t>
    </r>
    <r>
      <rPr>
        <sz val="10"/>
        <color rgb="FF000000"/>
        <rFont val="Times New Roman"/>
        <family val="1"/>
      </rPr>
      <t>Двухполюсный переключатель на два направления</t>
    </r>
  </si>
  <si>
    <r>
      <t xml:space="preserve">EMC </t>
    </r>
    <r>
      <rPr>
        <sz val="10"/>
        <color rgb="FF000000"/>
        <rFont val="Times New Roman"/>
        <family val="1"/>
      </rPr>
      <t>ЭМС</t>
    </r>
  </si>
  <si>
    <r>
      <t xml:space="preserve">Electro Magnetic Compatibility </t>
    </r>
    <r>
      <rPr>
        <sz val="10"/>
        <color rgb="FF000000"/>
        <rFont val="Times New Roman"/>
        <family val="1"/>
      </rPr>
      <t>Электромагнитная совместимость</t>
    </r>
  </si>
  <si>
    <t>EPC</t>
  </si>
  <si>
    <r>
      <t xml:space="preserve">Engineering, Procurement and Construction </t>
    </r>
    <r>
      <rPr>
        <sz val="10"/>
        <color rgb="FF000000"/>
        <rFont val="Times New Roman"/>
        <family val="1"/>
      </rPr>
      <t>Проектирование, закупки и строительство</t>
    </r>
  </si>
  <si>
    <r>
      <t xml:space="preserve">Front End Engineering Design </t>
    </r>
    <r>
      <rPr>
        <sz val="10"/>
        <color rgb="FF000000"/>
        <rFont val="Times New Roman"/>
        <family val="1"/>
      </rPr>
      <t>Техническое проектирование</t>
    </r>
  </si>
  <si>
    <t>FGS</t>
  </si>
  <si>
    <r>
      <t xml:space="preserve">Fire and Gas System </t>
    </r>
    <r>
      <rPr>
        <sz val="10"/>
        <color rgb="FF000000"/>
        <rFont val="Times New Roman"/>
        <family val="1"/>
      </rPr>
      <t>Система обнаружения пожара и загазованности</t>
    </r>
  </si>
  <si>
    <t>FMEDA</t>
  </si>
  <si>
    <r>
      <t xml:space="preserve">Failure Modes Effects Diagnostics Analysis </t>
    </r>
    <r>
      <rPr>
        <sz val="10"/>
        <color rgb="FF000000"/>
        <rFont val="Times New Roman"/>
        <family val="1"/>
      </rPr>
      <t>Анализ видов и последствий отказов</t>
    </r>
  </si>
  <si>
    <t>FNPT</t>
  </si>
  <si>
    <r>
      <t xml:space="preserve">Female National Pipe Thread </t>
    </r>
    <r>
      <rPr>
        <sz val="10"/>
        <color rgb="FF000000"/>
        <rFont val="Times New Roman"/>
        <family val="1"/>
      </rPr>
      <t>Внутренняя трубная резьба</t>
    </r>
  </si>
  <si>
    <r>
      <t xml:space="preserve">GOST R </t>
    </r>
    <r>
      <rPr>
        <sz val="10"/>
        <color rgb="FF000000"/>
        <rFont val="Times New Roman"/>
        <family val="1"/>
      </rPr>
      <t>ГОСТ Р</t>
    </r>
  </si>
  <si>
    <r>
      <t xml:space="preserve">GosStandart certificate </t>
    </r>
    <r>
      <rPr>
        <sz val="10"/>
        <color rgb="FF000000"/>
        <rFont val="Times New Roman"/>
        <family val="1"/>
      </rPr>
      <t>Сертификат Госстандарта</t>
    </r>
  </si>
  <si>
    <t>HART</t>
  </si>
  <si>
    <r>
      <t xml:space="preserve">Highway Addressable Remote Transmitter </t>
    </r>
    <r>
      <rPr>
        <sz val="10"/>
        <color rgb="FF000000"/>
        <rFont val="Times New Roman"/>
        <family val="1"/>
      </rPr>
      <t>Магистральный адресуемый дистанционный датчик</t>
    </r>
  </si>
  <si>
    <r>
      <t xml:space="preserve">IEC </t>
    </r>
    <r>
      <rPr>
        <sz val="10"/>
        <color rgb="FF000000"/>
        <rFont val="Times New Roman"/>
        <family val="1"/>
      </rPr>
      <t>МЭК</t>
    </r>
  </si>
  <si>
    <r>
      <t xml:space="preserve">International Electrotechnical Commission </t>
    </r>
    <r>
      <rPr>
        <sz val="10"/>
        <color rgb="FF000000"/>
        <rFont val="Times New Roman"/>
        <family val="1"/>
      </rPr>
      <t>Международная электротехническая комиссия</t>
    </r>
  </si>
  <si>
    <t>ISA</t>
  </si>
  <si>
    <r>
      <t xml:space="preserve">Instrument Society of America </t>
    </r>
    <r>
      <rPr>
        <sz val="10"/>
        <color rgb="FF000000"/>
        <rFont val="Times New Roman"/>
        <family val="1"/>
      </rPr>
      <t>Американское общество приборостроения</t>
    </r>
  </si>
  <si>
    <r>
      <t xml:space="preserve">MCC </t>
    </r>
    <r>
      <rPr>
        <sz val="10"/>
        <color rgb="FF000000"/>
        <rFont val="Times New Roman"/>
        <family val="1"/>
      </rPr>
      <t>ЩСУ</t>
    </r>
  </si>
  <si>
    <r>
      <t xml:space="preserve">Motor Control Centre </t>
    </r>
    <r>
      <rPr>
        <sz val="10"/>
        <color rgb="FF000000"/>
        <rFont val="Times New Roman"/>
        <family val="1"/>
      </rPr>
      <t>Щит станции управления электродвигателями</t>
    </r>
  </si>
  <si>
    <t>NACE</t>
  </si>
  <si>
    <r>
      <t xml:space="preserve">National Association of Corrosion Engineers </t>
    </r>
    <r>
      <rPr>
        <sz val="10"/>
        <color rgb="FF000000"/>
        <rFont val="Times New Roman"/>
        <family val="1"/>
      </rPr>
      <t>Международная ассоциация инженеров-коррозионистов</t>
    </r>
  </si>
  <si>
    <t>NFPA</t>
  </si>
  <si>
    <r>
      <t xml:space="preserve">National Fire Protection Association </t>
    </r>
    <r>
      <rPr>
        <sz val="10"/>
        <color rgb="FF000000"/>
        <rFont val="Times New Roman"/>
        <family val="1"/>
      </rPr>
      <t>Национальная ассоциация пожарной безопасности</t>
    </r>
  </si>
  <si>
    <t>NAMUR</t>
  </si>
  <si>
    <r>
      <t xml:space="preserve">Normenarbeitsgemeinschaft fur Mess- und Regeltechnik </t>
    </r>
    <r>
      <rPr>
        <sz val="10"/>
        <color rgb="FF000000"/>
        <rFont val="Times New Roman"/>
        <family val="1"/>
      </rPr>
      <t>Normenarbeitsgemeinschaft fur Mess-und Regeltechnik (немецкий стандарт работы КИП)</t>
    </r>
  </si>
  <si>
    <t>OSHA</t>
  </si>
  <si>
    <r>
      <t xml:space="preserve">Occupational Safety and Health Administration </t>
    </r>
    <r>
      <rPr>
        <sz val="10"/>
        <color rgb="FF000000"/>
        <rFont val="Times New Roman"/>
        <family val="1"/>
      </rPr>
      <t>Управление по технике безопасности и гигиене труда (США)</t>
    </r>
  </si>
  <si>
    <t>P&amp;ID P&amp;ID</t>
  </si>
  <si>
    <r>
      <t xml:space="preserve">Piping and Instrumentation Diagram </t>
    </r>
    <r>
      <rPr>
        <sz val="10"/>
        <color rgb="FF000000"/>
        <rFont val="Times New Roman"/>
        <family val="1"/>
      </rPr>
      <t>Схема технологическая с КИПиА</t>
    </r>
  </si>
  <si>
    <r>
      <t xml:space="preserve">PLC </t>
    </r>
    <r>
      <rPr>
        <sz val="10"/>
        <color rgb="FF000000"/>
        <rFont val="Times New Roman"/>
        <family val="1"/>
      </rPr>
      <t>ПЛК</t>
    </r>
  </si>
  <si>
    <r>
      <t xml:space="preserve">Programmable Logic Controllers </t>
    </r>
    <r>
      <rPr>
        <sz val="10"/>
        <color rgb="FF000000"/>
        <rFont val="Times New Roman"/>
        <family val="1"/>
      </rPr>
      <t>Программируемый логический контроллер</t>
    </r>
  </si>
  <si>
    <r>
      <t xml:space="preserve">PMT </t>
    </r>
    <r>
      <rPr>
        <sz val="10"/>
        <color rgb="FF000000"/>
        <rFont val="Times New Roman"/>
        <family val="1"/>
      </rPr>
      <t>ГУП</t>
    </r>
  </si>
  <si>
    <r>
      <t xml:space="preserve">Project Management Team </t>
    </r>
    <r>
      <rPr>
        <sz val="10"/>
        <color rgb="FF000000"/>
        <rFont val="Times New Roman"/>
        <family val="1"/>
      </rPr>
      <t>Группа управления Проектом</t>
    </r>
  </si>
  <si>
    <r>
      <t xml:space="preserve">PUE </t>
    </r>
    <r>
      <rPr>
        <sz val="10"/>
        <color rgb="FF000000"/>
        <rFont val="Times New Roman"/>
        <family val="1"/>
      </rPr>
      <t>ПУЭ</t>
    </r>
  </si>
  <si>
    <r>
      <t xml:space="preserve">Russian Electrical Codes </t>
    </r>
    <r>
      <rPr>
        <sz val="10"/>
        <color rgb="FF000000"/>
        <rFont val="Times New Roman"/>
        <family val="1"/>
      </rPr>
      <t>Российский электротехнический стандарт (Правила</t>
    </r>
  </si>
  <si>
    <r>
      <t xml:space="preserve">RDI </t>
    </r>
    <r>
      <rPr>
        <sz val="10"/>
        <color rgb="FF000000"/>
        <rFont val="Times New Roman"/>
        <family val="1"/>
      </rPr>
      <t>РПИ</t>
    </r>
  </si>
  <si>
    <r>
      <t xml:space="preserve">Russian Design Institute </t>
    </r>
    <r>
      <rPr>
        <sz val="10"/>
        <color rgb="FF000000"/>
        <rFont val="Times New Roman"/>
        <family val="1"/>
      </rPr>
      <t>Российский проектный институт</t>
    </r>
  </si>
  <si>
    <r>
      <t xml:space="preserve">SIL </t>
    </r>
    <r>
      <rPr>
        <sz val="10"/>
        <color rgb="FF000000"/>
        <rFont val="Times New Roman"/>
        <family val="1"/>
      </rPr>
      <t>SIL</t>
    </r>
  </si>
  <si>
    <r>
      <t xml:space="preserve">Safety Integrity Level </t>
    </r>
    <r>
      <rPr>
        <sz val="10"/>
        <color rgb="FF000000"/>
        <rFont val="Times New Roman"/>
        <family val="1"/>
      </rPr>
      <t>Уровень полноты безопасности</t>
    </r>
  </si>
  <si>
    <r>
      <t xml:space="preserve">SIS </t>
    </r>
    <r>
      <rPr>
        <sz val="10"/>
        <color rgb="FF000000"/>
        <rFont val="Times New Roman"/>
        <family val="1"/>
      </rPr>
      <t>ПАЗ</t>
    </r>
  </si>
  <si>
    <r>
      <t xml:space="preserve">Safety Instrumented System </t>
    </r>
    <r>
      <rPr>
        <sz val="10"/>
        <color rgb="FF000000"/>
        <rFont val="Times New Roman"/>
        <family val="1"/>
      </rPr>
      <t>Система противоаварийной защиты</t>
    </r>
  </si>
  <si>
    <t>SPDT</t>
  </si>
  <si>
    <r>
      <t xml:space="preserve">Single Pole Double Throw </t>
    </r>
    <r>
      <rPr>
        <sz val="10"/>
        <color rgb="FF000000"/>
        <rFont val="Times New Roman"/>
        <family val="1"/>
      </rPr>
      <t>Однополюсный переключатель на два направления</t>
    </r>
  </si>
  <si>
    <r>
      <t xml:space="preserve">UPS </t>
    </r>
    <r>
      <rPr>
        <sz val="10"/>
        <color rgb="FF000000"/>
        <rFont val="Times New Roman"/>
        <family val="1"/>
      </rPr>
      <t>ИБП</t>
    </r>
  </si>
  <si>
    <r>
      <t xml:space="preserve">Uninterruptible Power Supply </t>
    </r>
    <r>
      <rPr>
        <sz val="10"/>
        <color rgb="FF000000"/>
        <rFont val="Times New Roman"/>
        <family val="1"/>
      </rPr>
      <t>Источник бесперебойного питания</t>
    </r>
  </si>
  <si>
    <t>in-tsp-8013</t>
  </si>
  <si>
    <t>API, ASME, ASTM, CFR, FCI, I EC, ISA, NACE, NFPA, OSHA</t>
  </si>
  <si>
    <t>Governmental regulation 1521, dated December 26, 2014 and additionally take into account regulations indicated at Order of Rosstandart N 365 dated March 30, 2015 and Order of Rosstandart N 474 dated April 16, 2014.</t>
  </si>
  <si>
    <t>Design and Construction in Terms of Fire Safety Assurance of the BCC LLC GCC ECGP Project inside the boundaries of Kingisepp, Leningrad Region, Russia</t>
  </si>
  <si>
    <t>later</t>
  </si>
  <si>
    <t>API, ASME, ASTM, CFR, FCI, I EC, ISA, NACE, NFPA, OSHA,</t>
  </si>
  <si>
    <t>Instrument Design Criteria  (Design and Engineering Specifications, Instrumentation Fabrication and Testing Specifications)</t>
  </si>
  <si>
    <t>Chap. 1.3</t>
  </si>
  <si>
    <t>P 6/94</t>
  </si>
  <si>
    <t>Project specific technical specification for the Design and Construction in Terms of Industrial Safety Assurance of the BCC LLC GCC ECGP Project inside the boundaries of Kingisepp, Len-ingrad Region, Russia. [Later]</t>
  </si>
  <si>
    <r>
      <t xml:space="preserve">• Certificates/declarations of conformity with Technical procedure manual / Customs Union procedure manuals
• Approval certificates for measuring devices with attachment Description of measuring devices types issued by The Federal Agency on Technical Regulation and Metrology
• Compliance Certificates, certificated by The Federal Agency on Technical Regulation and Metrology for software, within voluntary certification. Primary verification / calibration calibration certificate
• Certificate of compliance with GOST R
</t>
    </r>
    <r>
      <rPr>
        <b/>
        <sz val="12"/>
        <color theme="1"/>
        <rFont val="Calibri"/>
        <family val="2"/>
        <scheme val="minor"/>
      </rPr>
      <t>For safety valves and rupture disks:</t>
    </r>
    <r>
      <rPr>
        <sz val="11"/>
        <color theme="1"/>
        <rFont val="Calibri"/>
        <family val="2"/>
        <scheme val="minor"/>
      </rPr>
      <t xml:space="preserve">
• Authority (Technical) Passport with technical documentation
• Confirmation of compliance with technical procedure manual of Customs union, their action covers this equipment in the form of certification or declaration of conformity.
</t>
    </r>
  </si>
  <si>
    <t>Chap. 1.3.1</t>
  </si>
  <si>
    <t>P 8/94</t>
  </si>
  <si>
    <t>Ci à-coté la partie de la spec instrum plus précise :</t>
  </si>
  <si>
    <t>Liste de vendeurs dans Spec Painture
ET dans spec Instrum : BCC LLC GCC ECGP Project Approved Manufactures List (Hold)</t>
  </si>
  <si>
    <t>Chap. 1.4</t>
  </si>
  <si>
    <t>P 10/94</t>
  </si>
  <si>
    <r>
      <t xml:space="preserve">../.. 
</t>
    </r>
    <r>
      <rPr>
        <b/>
        <sz val="11"/>
        <color theme="1"/>
        <rFont val="Calibri"/>
        <family val="2"/>
        <scheme val="minor"/>
      </rPr>
      <t>Analog instrumentation signals</t>
    </r>
    <r>
      <rPr>
        <sz val="11"/>
        <color theme="1"/>
        <rFont val="Calibri"/>
        <family val="2"/>
        <scheme val="minor"/>
      </rPr>
      <t xml:space="preserve"> for the process control system shall be 4-20 mA dc (HART) HART protocol version should not be lower than 7  ../.. 
</t>
    </r>
    <r>
      <rPr>
        <b/>
        <sz val="11"/>
        <color theme="1"/>
        <rFont val="Calibri"/>
        <family val="2"/>
        <scheme val="minor"/>
      </rPr>
      <t>Discrete measurement signals</t>
    </r>
    <r>
      <rPr>
        <sz val="11"/>
        <color theme="1"/>
        <rFont val="Calibri"/>
        <family val="2"/>
        <scheme val="minor"/>
      </rPr>
      <t xml:space="preserve"> for the process control system shall be 4-20 mA DC (8/16mA) with HART protocol version 7 or NAMUR standard in accordance with EN 60947-5-6 with type of explosion protection Ex i. Discrete changeover contacts shall be mechanical, single-pole double-throw (SPDT)
</t>
    </r>
    <r>
      <rPr>
        <b/>
        <sz val="11"/>
        <color theme="1"/>
        <rFont val="Calibri"/>
        <family val="2"/>
        <scheme val="minor"/>
      </rPr>
      <t>Motor communication</t>
    </r>
    <r>
      <rPr>
        <sz val="11"/>
        <color theme="1"/>
        <rFont val="Calibri"/>
        <family val="2"/>
        <scheme val="minor"/>
      </rPr>
      <t xml:space="preserve"> will be preferred, either via Profibus or Modbus TCP, pending MCC Manufacturer selection. With the exception of SIS signals, they shall be hard wired.
</t>
    </r>
    <r>
      <rPr>
        <b/>
        <sz val="11"/>
        <color theme="1"/>
        <rFont val="Calibri"/>
        <family val="2"/>
        <scheme val="minor"/>
      </rPr>
      <t>Instruments connected to the emergency protection</t>
    </r>
    <r>
      <rPr>
        <sz val="11"/>
        <color theme="1"/>
        <rFont val="Calibri"/>
        <family val="2"/>
        <scheme val="minor"/>
      </rPr>
      <t xml:space="preserve"> system etc.. same than discet ../..
</t>
    </r>
    <r>
      <rPr>
        <b/>
        <sz val="11"/>
        <color theme="1"/>
        <rFont val="Calibri"/>
        <family val="2"/>
        <scheme val="minor"/>
      </rPr>
      <t>SIS Instruments and valves</t>
    </r>
    <r>
      <rPr>
        <sz val="11"/>
        <color theme="1"/>
        <rFont val="Calibri"/>
        <family val="2"/>
        <scheme val="minor"/>
      </rPr>
      <t xml:space="preserve"> with SIL1,2 or 3 will have Failure Modes, Effects, and Diagnostics Analysis (FMEDA) and will have functional safety certificates per I EC 61508, I EC 61511 [series of GOST R I EC 61508-2012 (all standards), GOST R I EC 61511-2011 (all standards)] for all devices required for a safety shutdown (equipment, block, unit, process train, etc.). </t>
    </r>
    <r>
      <rPr>
        <b/>
        <sz val="11"/>
        <color theme="1"/>
        <rFont val="Calibri"/>
        <family val="2"/>
        <scheme val="minor"/>
      </rPr>
      <t>Instruments and valves wired to the safety system</t>
    </r>
    <r>
      <rPr>
        <sz val="11"/>
        <color theme="1"/>
        <rFont val="Calibri"/>
        <family val="2"/>
        <scheme val="minor"/>
      </rPr>
      <t xml:space="preserve"> that are not part of a safety shutdown do not require these certifications
</t>
    </r>
    <r>
      <rPr>
        <b/>
        <sz val="11"/>
        <color theme="1"/>
        <rFont val="Calibri"/>
        <family val="2"/>
        <scheme val="minor"/>
      </rPr>
      <t xml:space="preserve">At least two independent transmitters </t>
    </r>
    <r>
      <rPr>
        <sz val="11"/>
        <color theme="1"/>
        <rFont val="Calibri"/>
        <family val="2"/>
        <scheme val="minor"/>
      </rPr>
      <t>with separate tapping points shall monitor parameters defining explosion hazard of the processes with explosion hazard blocks of category I (as per FNiP OPB item 6.3.8). For facilities with process blocks of explosion hazard categories I and II it is not allowed to use the same detectors that are used within other automatic process control systems for ESD (e.g., in automatic control system) (FNiP OPV item 6.3.6). In SIS systems it is prohibited to use multipoint instruments for monitoring the parameters defining explosion hazard of the process (FNIP OPV item 6.3.9)</t>
    </r>
  </si>
  <si>
    <t>Calibration</t>
  </si>
  <si>
    <t xml:space="preserve">Minimum calibration period for instruments shall be 4 years../..shall be supplied with metrology certificates ../..
• GOST R certificate of conformity
• Certificates/declarations of conformity with Technical Procedure manual of Customs Union
• Approval certificates for measuring devices with attachment of Description of measuring instruments type issued by The Federal Agency on Technical Regulation and Metrology
• Certificates on verification/calibration of measurement instruments.
</t>
  </si>
  <si>
    <t>P 14/94</t>
  </si>
  <si>
    <t xml:space="preserve">1. Design air temperature of the coldest day, °C:
- probability of 0.92 ... - 28
- probability of 0.98 ... -32 (1986/87-2014/15)
4. Absolute minimum air temperature, °С
- for entire observation period. .. -39 (1940) (1924-41, 1944-2017)
- for the last 30 years. ..- 34 (2003) (1988-2017)
</t>
  </si>
  <si>
    <t>10. Absolute maximum air temperature. ° C for the entire observation period ... 35 (2010) (1924, 1927-41, 1944-2017)</t>
  </si>
  <si>
    <t>5. Average monthly relative humidity of the 
coldest month, % ... 84 (1985-2014)</t>
  </si>
  <si>
    <t>Humidity</t>
  </si>
  <si>
    <t>Ffaute d'avoir la spec sur les conditions générales !</t>
  </si>
  <si>
    <t>Please refer to the “Basic Ergonomic, Engineering and Design Data” document for details on meteorological data, the site location and elevation. 
Wind and snow resistant design shall be in accordance with the appropriate Russian rules and regulations of GOST 34283-2017, SP 20.13330.2016.</t>
  </si>
  <si>
    <t>7. The maximum of the average wind speeds by rhumb lines for January, m/s ... 3.0 (1985-2014) 8. The average wind speed for the period at average daily temperature of 8 °C, m/s ... 
2.4 (1985-2014) 13.  Wind speed with exceedance probability of 5%, m/s ... 6 (1971-2044) ( as per IN-TSP-8013 Chap 2.3)</t>
  </si>
  <si>
    <t>Pluie Neige</t>
  </si>
  <si>
    <t xml:space="preserve">11. Daily maximum precipitation for the entire observation period, mm ... 66 (1953) Daily maximum precipitation for the period over the last 30 years (1988-2017), mm ... 63 (2004) 
15. Design ten-day snow depth based on permanent snow stake of 5%, cm ... 55 (1966-2017) </t>
  </si>
  <si>
    <t>Signals</t>
  </si>
  <si>
    <t>2.5 Transmission Signals</t>
  </si>
  <si>
    <t>Chap. 2.5</t>
  </si>
  <si>
    <t>P 17/94</t>
  </si>
  <si>
    <t xml:space="preserve">2.6.1 Electrical Power Supply
• 230V ac±10%, 50Hz, 1 Phase: UPS Feed from control system distribution boards to DCS, PLC, Panels including local panels and analyzers
• 24V dc (at the terminal of the field device): Field instruments, solenoid valves, relays and lamps;
• 230V ac ±10%, 50Hz, 1 Phase: field instruments located a great distance from power distribution board.
</t>
  </si>
  <si>
    <t>Chap. 2.6.1</t>
  </si>
  <si>
    <t>P 18/94</t>
  </si>
  <si>
    <t>Chap. 2.6.2</t>
  </si>
  <si>
    <t>Air instrum</t>
  </si>
  <si>
    <t>Nominal supply pressure: 0.6-0.8 MPa
Minimum / maximum pressure: 0.5-0.8 MPa
Design Pressure: 1.1 MPa
Dew point: -70C
../..Main pipes and pipe routings for instrumentation air shall be made of stainless steel 12h18n10t or similar…/..</t>
  </si>
  <si>
    <t>Inst Accuracy</t>
  </si>
  <si>
    <t xml:space="preserve">2.8 Accuracy </t>
  </si>
  <si>
    <t>Chap. 2.8</t>
  </si>
  <si>
    <t>Chap. 2.9</t>
  </si>
  <si>
    <t>P 21/94</t>
  </si>
  <si>
    <t>Explosion Protection in Hazardous Area and Ingress Protection (IP) 
../.. IP 66/67../..</t>
  </si>
  <si>
    <t>Voir également dans la partie instrumentation</t>
  </si>
  <si>
    <t>IP</t>
  </si>
  <si>
    <t>Instruments for usage in a (Zone 0, 1, 2) explosive zone shall be intrinsic safe design (Ex-iaIICT3) except for solenoid valves and special instruments with external power supply without having segregated intrinsic safe signals  (flow meters with an Exd housing and 220V power supply shall generate 4-20mA Exi signal). 
Solenoid valves and special instruments referred 
shall be of explosion proof design (ExdIICT3)../..</t>
  </si>
  <si>
    <t>Wheateher protection</t>
  </si>
  <si>
    <t>winterisation</t>
  </si>
  <si>
    <t>Chap. 2.10</t>
  </si>
  <si>
    <t>P 22/94</t>
  </si>
  <si>
    <t xml:space="preserve">Instrument design </t>
  </si>
  <si>
    <t>min temp</t>
  </si>
  <si>
    <t>Instrumentation equipment used in the design of the facility should be designed for minimum ambient temperature of - 40 ° C</t>
  </si>
  <si>
    <t>Instruments shall be purchased with operations manuals in Russian and English</t>
  </si>
  <si>
    <t>P 28/94</t>
  </si>
  <si>
    <t>Matieres et supports</t>
  </si>
  <si>
    <t>P 27/94
&amp; 29</t>
  </si>
  <si>
    <t>PN 40</t>
  </si>
  <si>
    <t>P 31/94</t>
  </si>
  <si>
    <t>Fittings on impulse lines shall be threaded and have two sealing rings or one, ../..</t>
  </si>
  <si>
    <t xml:space="preserve"> The following constraints shall apply to all Instrumentation: 
Voir le tableau (80dB, Analog, 2 wires, HART - NAMUR, 24v 5w, 150% limit)
../..
Instrument outdoor shall be dezsign for ambient temperature from (minus) -40 ° С to + 35 ° С../..
</t>
  </si>
  <si>
    <t xml:space="preserve">Instrumentation flanges shall comply with the requirements of GOST R 54432-2011. Sealing surface of the flanges shall be selected in accordance with the requirements of GOST 
32569-2013. HFL and FL flanges with a connecting ledge shall not be used. Flanges shall be designed for AN-SI300 pressure as a minimum (or PN40 in accordance with GOST R 54432-2011) </t>
  </si>
  <si>
    <t>A reserve of 10%, but not less than 1 pc, should be provided for each type of instrument from the total number of instrumentation and automation sys-tems indicated in the projec</t>
  </si>
  <si>
    <t xml:space="preserve">P 31/94
</t>
  </si>
  <si>
    <t xml:space="preserve">spec IN-TSP-8013 page 33: 3.4.4 Distribution :
Distribution of copies:  • BCC LLC – 3  • Document Control – 1 </t>
  </si>
  <si>
    <t>Design data sheet</t>
  </si>
  <si>
    <t>Chap.3.5 to 3.10 
&amp; 3.4</t>
  </si>
  <si>
    <t>P 33/94
to  80</t>
  </si>
  <si>
    <t>Data for each instrument type../..</t>
  </si>
  <si>
    <t>P 83/94</t>
  </si>
  <si>
    <t xml:space="preserve">All cable products should be armored, both main cable lines and field cable from boxes to instruments. The use of a metal hose shall be agreed with the customer. </t>
  </si>
  <si>
    <t>Chap. 2.10 &amp; 6.1.1</t>
  </si>
  <si>
    <t>P 22/94
&amp; 84</t>
  </si>
  <si>
    <t>The design specification for the preparation of equipment for use in winter conditions (GCC-CC7-PF-00000-PE-TSP-5005) requires that all devices that are exposed to the weather and are installed outside the piping shall be installed in electrically heated cabinets (including secondary electronic assemblies for remote flow meters, and temperature gauges), exceptions: temperature transmitters, instrumentation and control valves, radar and displacer level gauge, integrated flow meters. 
Voir le tableau tres précis...
../.. The temperature in the heated cabinets shall be controlled through intelligent sensors installed in the instrumentation cabinet../.. HART../..
shall be mounted in  heated and insulated enclosures de-
signed to protect the instrument ../..</t>
  </si>
  <si>
    <t>../.. in accordance with process conditions. If it is allowed by working conditions, it is preferable to use a thermostatically controlled tube bundle with a calibrated stainless tube of 12x1.5 mm. ../..
../..Electric traced pre-insulated tubes (PIT) are recommended.../.. See table</t>
  </si>
  <si>
    <t>Chap. 2.81 6.1.2</t>
  </si>
  <si>
    <t>P 31/94
1 85</t>
  </si>
  <si>
    <t>Tubing fitting /couplings</t>
  </si>
  <si>
    <t>Chap. 6.1.3</t>
  </si>
  <si>
    <t>P 85/94</t>
  </si>
  <si>
    <t xml:space="preserve">The following are requirements for wire/cable installations for instrumentation and controls../.. </t>
  </si>
  <si>
    <t>Multi-core (multi-pair) cables shall have at least 
20% spare conductors (steam)</t>
  </si>
  <si>
    <t xml:space="preserve">P 87/94
</t>
  </si>
  <si>
    <t>Chap. 2.10
&amp; 6.1.4</t>
  </si>
  <si>
    <t>P 22/94
&amp; 89</t>
  </si>
  <si>
    <t xml:space="preserve">P 21/94
</t>
  </si>
  <si>
    <t xml:space="preserve">Chap. 2.9
</t>
  </si>
  <si>
    <t>The detail installation and hook-up drawings shall follow Russian Regulation Requirements, any addition or change shall be approved by Client
6.1.4 Dimensions of connection of instruments with process lines and apparatuses…/..</t>
  </si>
  <si>
    <t>Chap. 6.1
&amp; 6.1.4</t>
  </si>
  <si>
    <t>P 83/94
&amp; 89</t>
  </si>
  <si>
    <t>Cabinets shall be fiberglass, hardware shall be made of stainless steel, heating element shall be made of heating cable as a finished product or PTC thermistor in an aluminum casing with Exd explosion protection a type
../.. Junction boxes made of non-combustible reinforced fiberglass or stainless steel shall be used)../..</t>
  </si>
  <si>
    <t>If cable is laid in trays and boxes, do not fill the cable support systems by more than 60%. It is necessary to provide for cable support systems that allow fastening cable through each meter at vertical sections
…/..All instruments, tubing, piping, wiring and cables shall be properly supported. Cables shall be protected with flexible conduit from small cable tray up to the instrument.  …/..</t>
  </si>
  <si>
    <t>P 87/94
&amp; 91</t>
  </si>
  <si>
    <t>wiring</t>
  </si>
  <si>
    <r>
      <t xml:space="preserve">Wetted part : as Process
Supporting : Fixing materials intended for installation of instrumentation and automation devices shall be made of </t>
    </r>
    <r>
      <rPr>
        <b/>
        <sz val="11"/>
        <color theme="1"/>
        <rFont val="Calibri"/>
        <family val="2"/>
        <scheme val="minor"/>
      </rPr>
      <t>stainless steel</t>
    </r>
    <r>
      <rPr>
        <sz val="11"/>
        <color theme="1"/>
        <rFont val="Calibri"/>
        <family val="2"/>
        <scheme val="minor"/>
      </rPr>
      <t xml:space="preserve"> and provide the possibility of adjustable installation in vertical or horizontal position // Devices installed in cabinets and on racks shall be supplied together with mounting devices for installation on a pipe support with a diameter of 50 mm (2”)
../..Instrument cabinets shall be made of non-combustible antistatic impact  resistant high-density glass fiber reinforced polyester (GRP) or an equivalent material. ../..
6.2.3 Selection of Materials ..//..</t>
    </r>
  </si>
  <si>
    <t>Chap. 2.7
&amp; 3.1 &amp; 6.1.1
&amp; 6.2.3</t>
  </si>
  <si>
    <t>P 18/94
&amp; 29 &amp; 84
&amp; 82</t>
  </si>
  <si>
    <t>Heat Tracing</t>
  </si>
  <si>
    <t>Chap. 6.3</t>
  </si>
  <si>
    <t>P 92/94</t>
  </si>
  <si>
    <t>..//.. instruments and instrument impulse lines will be electrically heated for freeze protec-tion. Instruments will be mounted in in-dividual heated and insulated enclosures. Power for heat tracing the impulse lines will be provided from the heat trace system..//..</t>
  </si>
  <si>
    <t>EL-TSP-9011</t>
  </si>
  <si>
    <t>langue</t>
  </si>
  <si>
    <t>instrum</t>
  </si>
  <si>
    <t>elec</t>
  </si>
  <si>
    <t>№116-ФЗ от 21.07.1997</t>
  </si>
  <si>
    <t>О промышленной безопасности опасных производственных объектов</t>
  </si>
  <si>
    <t>No. 116-FZ of 21.07.1997</t>
  </si>
  <si>
    <t>On Industrial Safety of Hazardous Industrial Facilities</t>
  </si>
  <si>
    <t xml:space="preserve">№ 123-ФЗ от 22.07.2008 г. </t>
  </si>
  <si>
    <t>No. 123-FZ of 22.07.2008</t>
  </si>
  <si>
    <t>Process Regulation for Fire Safety Requirements</t>
  </si>
  <si>
    <t xml:space="preserve">№69-ФЗ от 21.12.1994 г </t>
  </si>
  <si>
    <t>No. 69-FZ of 21.12.1994</t>
  </si>
  <si>
    <t>No. 384-FZ of 30.12.2009</t>
  </si>
  <si>
    <t>Resolution of the Government of the Russian Federation of 26 December 2014 No. 1521</t>
  </si>
  <si>
    <t>List of National Standards and Codes (parts of such standards and codes), which, if used, shall mandatorily ensure compliance with the Federal Law "Process Regulation for Safety of Buildings and Structures"</t>
  </si>
  <si>
    <t xml:space="preserve">Правила устройства электроустановок, 6-е, 7-e издания:                </t>
  </si>
  <si>
    <t>PUE</t>
  </si>
  <si>
    <t>Electrical Installation Code, 6th, 7th Edition:</t>
  </si>
  <si>
    <t>Инструкция по монтажу электрооборудования силовых и осветительных сетей взрывоопасных зон</t>
  </si>
  <si>
    <t>Installation Instructions for Electrical Equipment for Power and Lighting Networks in Hazardous Areas</t>
  </si>
  <si>
    <t xml:space="preserve">Electrical equipment shall have a degree of protection:
- for installed in electrical rooms not lower than IP 30;
- for installed in industrial premises, outside electrical rooms or outdoors (outside buildings) not lower than IP 54.
- for terminal and junction boxes of outdoor installation not lower than IP 55.
</t>
  </si>
  <si>
    <t>P 7/15</t>
  </si>
  <si>
    <t>5.3 Electrical equipment are to be selected in accordance to the instructions below:
Zone "0", "20" Extra explosion-proof electrical equipment (Ex i)
Zone "1", "21" Explosion-proof electrical equipment (Ex d),   (Ex e), (Ex p)
(Ex p) is only allowed for medium voltage motors, with the purge system included in the supply.
Zone “2”, “22” Electrical equipment of increased reliability against explosion (Ex d), (Ex e)
It is not allowed to use electrical equipment with protection type “n”
../..</t>
  </si>
  <si>
    <t xml:space="preserve">6.1 Frequency 50Hz.
6.2 The power supply voltages for the indicated loads will be as follows (unless otherwise specified in the technical data):
Motors with power ≥ 200 kW - 10000 V, three-phase three-wire network with insulated neutral.
Motors with power &gt; 0,5 &lt;200 kV - 400 V, a three-phase four-wire network with a grounded neutral.
Motors with power 0,5 kW 230 V, a single-phase three-wire network with a solidly earthed neutral.
Electric heaters with capacity of &lt;3 kW, single-phase consumers (sockets, anti-condensate heating and various equipment) - 230 V, a single-phase three-wire network with a solidly earthed neutral.
6.3 Earthing system TN-S (GOST 30331.1-2013 (IEC 60364-) </t>
  </si>
  <si>
    <t>Starting the motors can result in transient un-
dervoltages equal to 80% of the rated voltage</t>
  </si>
  <si>
    <t xml:space="preserve">Electrical_Requirements_for_Mechanical_Equipment </t>
  </si>
  <si>
    <t>BBC-CC7-00000-ENG-TSP-5005</t>
  </si>
  <si>
    <t>GCC-CC7-PF-00000-OP-TSP-5001</t>
  </si>
  <si>
    <t>GCC-CC7-PF-00000-IS-TSP-6008</t>
  </si>
  <si>
    <t>GCC-CC7-PF-00000-EL-TSP-9010</t>
  </si>
  <si>
    <t xml:space="preserve"> GCC-CC7-PF-00000-SS-TSP-1003</t>
  </si>
  <si>
    <t>GCC-CC7-PF-00000-HS-TSP-3007</t>
  </si>
  <si>
    <t>8.2.4 Cable structures (trays, boxes, shelves, etc.). The cable structure fastening system should be made of hot-dip galvanised steel for a non-corrosive environment and stainless steel or other materials for a corrosive environment, with due regard to the type of corrosion source. Cables inside the supplied unit shall be laid on trays or shelves in such a way that they are not subject to mechanical damage; otherwise they shall be mechanically protected by covers on the trays, steel boxes, or laid in pipes</t>
  </si>
  <si>
    <t>Chap. 8.2</t>
  </si>
  <si>
    <t>P 11/15</t>
  </si>
  <si>
    <t>8.4.1 All electric motors, skid frames, support 
frames, and control panels shall be equipped 
with two earthing terminals located diagonally 
in opposite corners of the equipment / support 
frame</t>
  </si>
  <si>
    <t>Chap. 8.4</t>
  </si>
  <si>
    <t>10.2 All individual components of the equipment as well as the finished assembly shall pass the standard tests for compliance with requirements of applicable IEC standards. 
Testing of electrical equipment shall also meet requirements of the chapter 1.8 PUE, ed. 1998</t>
  </si>
  <si>
    <t>P 13/15</t>
  </si>
  <si>
    <t>All equipment and materials shall be equipped with GOST certificates and confirmation of com-pliance with the Technical Regulations of the Customs Union in the form of either a Declaration of Conformity or a Certificate of Conformity (in the case of the release of the Technical Regulations of the Customs Union) or providing a positive opinion industrial safety expertise (if the Technical Regulation of the Customs Union is not issued) and marked in accordance to GOST R GOST 30852.0.</t>
  </si>
  <si>
    <t>Rien de particulier sur les VSD dans la spec 9011</t>
  </si>
  <si>
    <t>voir dans les autres points les réponses trouvées</t>
  </si>
  <si>
    <t xml:space="preserve">Piping_Design_Specification </t>
  </si>
  <si>
    <t>PI-TSP-6002</t>
  </si>
  <si>
    <t>piping</t>
  </si>
  <si>
    <t>ICC – Intercrystallite Corrosion</t>
  </si>
  <si>
    <t>RF – Russian Federation</t>
  </si>
  <si>
    <t>PSTS – Project-Specific Technical Specifications</t>
  </si>
  <si>
    <t>FNP - Federal Industrial Safety Norms and Regulations</t>
  </si>
  <si>
    <t>FNP ORPD - Federal Industrial Safety Norms and Regulations "Industrial Safety Regulations for Hazardous Production Facilities where Pressure Equipment is Used"</t>
  </si>
  <si>
    <t>for piping spec  6002</t>
  </si>
  <si>
    <t>ТR ТS 032/2013</t>
  </si>
  <si>
    <t>SP 124.13130</t>
  </si>
  <si>
    <t>HEAT SUPPLY NETWORK (revised edition SNiP 41-02-2003)</t>
  </si>
  <si>
    <t>Process Steel Pipelines. Requirements for Installation and Operation at Explosion, Fire and Chemically Hazardous Industrial Facilities</t>
  </si>
  <si>
    <t>PBE NP-2001</t>
  </si>
  <si>
    <t>Rules of Safe Operation and Labor Safety for Oil Refineries</t>
  </si>
  <si>
    <t>Safety guidelines on flare systems, Approved by order of Rostekhnadzor dated 12.26.2012, No. 779.</t>
  </si>
  <si>
    <t>2.3 Reference Documents</t>
  </si>
  <si>
    <t>GOST 12.2.063-2015</t>
  </si>
  <si>
    <t>Pipeline valves. General safety requirements</t>
  </si>
  <si>
    <t>Corrosion-Resistant Steel and Alloys. Intercrystalline Corrosion Resistance Test Methods</t>
  </si>
  <si>
    <t>Piping Valves. Trims Tightness Class</t>
  </si>
  <si>
    <t>GOST 21.1101-2013</t>
  </si>
  <si>
    <t>Flanges PN 250 for Valves, Connecting Parts and Piping. Design, Dimensions and General Requirements.</t>
  </si>
  <si>
    <t>Vessels and apparatus. Norms and methods of strength calculation. Strength and leak-tightness calculation of flange joints</t>
  </si>
  <si>
    <r>
      <t>GOST R 56001</t>
    </r>
    <r>
      <rPr>
        <sz val="11.5"/>
        <color rgb="FF000000"/>
        <rFont val="Arial???????"/>
      </rPr>
      <t>-2014</t>
    </r>
  </si>
  <si>
    <t>Piping Valves for Gas Industry Facilities. General Requirements</t>
  </si>
  <si>
    <t>Heat Treatment of Processing Equipment and Elements</t>
  </si>
  <si>
    <r>
      <t xml:space="preserve">STO </t>
    </r>
    <r>
      <rPr>
        <sz val="12"/>
        <rFont val="Times New Roman"/>
        <family val="1"/>
      </rPr>
      <t>00220368-025-2018</t>
    </r>
  </si>
  <si>
    <t>Catalog of Equivalent Imported and Domestic Basic and Welding Materials Used for Manufacture of Vessels, Drums and Pipelines Subordinate to Rostekhnadzor.</t>
  </si>
  <si>
    <t>STO 00220575.063-2005</t>
  </si>
  <si>
    <r>
      <t xml:space="preserve">Vessels, Drums and Process Units of Oil and Gas Processing Plants </t>
    </r>
    <r>
      <rPr>
        <sz val="12"/>
        <color rgb="FF000000"/>
        <rFont val="Times New Roman"/>
        <family val="1"/>
      </rPr>
      <t xml:space="preserve">Containing H2S and Causing Corrosion Cracking </t>
    </r>
  </si>
  <si>
    <t>ST TsKBA 052-2008</t>
  </si>
  <si>
    <t>Piping Valves. Requirements for Materials of Valves Used for H2S Service</t>
  </si>
  <si>
    <t>NACE MR0103-2012</t>
  </si>
  <si>
    <t>Materials Resistant To Sulfide Stress Cracking In Corrosive Petroleum Refining Environments</t>
  </si>
  <si>
    <t>NACE MR0103/MR0175</t>
  </si>
  <si>
    <t>Pipe Flanges and Flanged Fittings. NPS 1/2 Through NPS 24. Metric/Inch Standard</t>
  </si>
  <si>
    <t>Large Diameter Steel Flanges NPS 26 Through NPS 60 Metric/Inch Standard</t>
  </si>
  <si>
    <t>ASME B31.1 (current edition)</t>
  </si>
  <si>
    <t>ASME B31.3(current edition)</t>
  </si>
  <si>
    <t>Standard Practices for Detecting Susceptibility to Intergranular Attack in Austenitic Stainless Steel.</t>
  </si>
  <si>
    <t>Application of Welding Technologies in Manufacture, Installation, Repair and Upgrade of Technical Devices for Hazardous Production Facilities</t>
  </si>
  <si>
    <t>Interface Control Procedure</t>
  </si>
  <si>
    <t>GCC-CC7-PF-00000-PI-TSP-6003</t>
  </si>
  <si>
    <t>Technical Specification. Line List</t>
  </si>
  <si>
    <t>GCC-CC7-PF-00000-PI-TSP-6004</t>
  </si>
  <si>
    <t>Technical Specification. Load Calculation Procedure (Piping)</t>
  </si>
  <si>
    <t>GCC-CC7-PF-00000-PI-TSP-6007</t>
  </si>
  <si>
    <t>Technical Specification. Design Manual for Piping Specification (Schedule).</t>
  </si>
  <si>
    <t>Technical Specification. Lightning and Earthing Philosophy</t>
  </si>
  <si>
    <t xml:space="preserve">SP 131.13330.2018 </t>
  </si>
  <si>
    <t xml:space="preserve">GOST 9544-2015 </t>
  </si>
  <si>
    <t xml:space="preserve">GOST 33259-2015 </t>
  </si>
  <si>
    <t xml:space="preserve">Materials for Use in H2S-Containing Environments in Oil and Gas Production </t>
  </si>
  <si>
    <t xml:space="preserve">ASME B16.5-2017 </t>
  </si>
  <si>
    <t xml:space="preserve">ASME B16.47-2017 </t>
  </si>
  <si>
    <t xml:space="preserve">RD 03-615-03 </t>
  </si>
  <si>
    <t xml:space="preserve">GCC-CC7-PM-00000-PE-PRO-00206 </t>
  </si>
  <si>
    <t>Federal Industrial Safety Norms and Regulations "General Explosion and Fire Safety Rules for Chemical and Petrochemical Facilities and Oil Refineries” ()</t>
  </si>
  <si>
    <t>Rostekhnadzor Order No. 96 dd 11.03.2013</t>
  </si>
  <si>
    <t>Federal Industrial Safety Norms and Regulations "Industrial Safety Regulations for Hazardous Production Facilities where Pressure Equipment is Used" ()</t>
  </si>
  <si>
    <t>Rostekhnadzor Order No. 116 dd 25.03.2014 and No. 539 dd 12.12.2017</t>
  </si>
  <si>
    <t>Federal Industrial Safety Norms and Regulations "Safety Regulations for Oil and Gas Refineries" ()</t>
  </si>
  <si>
    <t>Rostekhnadzor Order No. 125 dd 29.03.2016</t>
  </si>
  <si>
    <t>Rostekhnadzor dated 12.26.2012, No. 779.</t>
  </si>
  <si>
    <r>
      <t>Federal Industrial Safety Norms and Regulations "Requirements for Welding Operations at Hazardous Production Facilities</t>
    </r>
    <r>
      <rPr>
        <sz val="11.5"/>
        <color rgb="FF000000"/>
        <rFont val="Arial???????"/>
      </rPr>
      <t>", (</t>
    </r>
    <r>
      <rPr>
        <sz val="11.5"/>
        <color rgb="FF000000"/>
        <rFont val="Arial???????"/>
      </rPr>
      <t>)</t>
    </r>
  </si>
  <si>
    <t>Rostekhnadzor Order No. 102 dd 14.03.2014</t>
  </si>
  <si>
    <t>ASME Code for Pressure Piping, B31 Power piping</t>
  </si>
  <si>
    <t>ASME Code for Pressure Piping, B31 Process piping</t>
  </si>
  <si>
    <t>Building Climatology (revised edition SNiP 23-01-99)</t>
  </si>
  <si>
    <t>P 11/37</t>
  </si>
  <si>
    <t>P 1/37</t>
  </si>
  <si>
    <t>3.2 The piping service life shall be indicated in the project documentation and amount to 20 years for process piping (CLIENT to specify) and at least 30 years for heating lines [SP 124.13130.2012, item 10.1].</t>
  </si>
  <si>
    <t>3.1 Classification, design, materials, fabrication, installation, inspection and testing of process piping shall comply with GOST 32569-2013
../..
3.6 Heating lines shall comply with SP 124.13130.2012
3.7 Steam and hot water piping shall comply with FNP ORPD requirements
../..</t>
  </si>
  <si>
    <t>P 12/37</t>
  </si>
  <si>
    <t>3.10 Valves shall be installed in locations accessible for convenient and safe maintenance and repair. As required, fixed ladders may be provided. It is allowed to use portable platforms and ladders for rarely used (less than once per month) valves, access to control of which shall be required when a piping section is plugged for repair and connected after repair. Use of ladders for repair of valves, including their disassembly and removal, is not allowed.
../..
 3.12 The piping slope shall be used in accordance with GOST 32569 item 10.1.4, for steam and hot water piping – at least 0,004, heating utility lines – at least 0,002, flare systems – at least 0,003.</t>
  </si>
  <si>
    <t xml:space="preserve">3.14 Stress and flexibility analysis of pipelines should be calculated in accordance with the requirements of GCC-CC7-PF-00000-PI-TSP-6004. </t>
  </si>
  <si>
    <t>Chap. 3.14</t>
  </si>
  <si>
    <t>P 13/37</t>
  </si>
  <si>
    <t>Chap. 3.19</t>
  </si>
  <si>
    <t xml:space="preserve">3.20 CONTRACTOR shall be responsible for 
compliance of the BL piping with requirements 
of GCC-CC7-PM-00000-PE-PRO-00206 </t>
  </si>
  <si>
    <t>Chap. 3.20</t>
  </si>
  <si>
    <t>3.19 The design shall be in accordance with GCC-CC7-PF-00000-PI-TSP-6007
../..3.21 CONTRACTOR shall prepare Material Requisitions for the piping fabrication considering the following priority:
- standardized components as per standards (GOST, OST, TU etc.)
- standardized components as per international standards (ASME, EJMA etc.)- standardized components (temporary strainers, expanders for temperature elements, level bridles, supports etc.) as per the CLIENT’s albums of piping non-standard parts (submitted at the DD development stage
- non-standard components as per CONTRACTOR drawings or data sheets as approved by the CLIENT</t>
  </si>
  <si>
    <t>material</t>
  </si>
  <si>
    <t>Chap. 4.12</t>
  </si>
  <si>
    <t>P 15/37</t>
  </si>
  <si>
    <t xml:space="preserve">4.1.2 The basic materials listed in Annex A to GOST 32569-2013 shall be used for the materials. 
4.1.3 The materials selected as per foreign standards shall comply with STO 00220368-025-2018 </t>
  </si>
  <si>
    <t xml:space="preserve">4.1.4 The corrosion rate of piping materials shall not exceed 0,1 mm/year. </t>
  </si>
  <si>
    <t xml:space="preserve">4.1.12 For the piping routed on the open platform or in not heated spaces, the minimum piping wall temperature shall be equal to:
- the absolute minimum ambient temperature of the given area, if the piping wall temperature under design (operating) pressure can take this temperature value [GOST 32569-2013, item 7.2];
- the value of the negative temperature specified in table A.1 of GOST 32569-2013, column "above 0,35[σ]" for the respective material, if the piping wall temperature under design (operating) pressure can not be less than this value; if the specified temperature is above the average coldest 5-day period with probability 0,92, the start-up, shutdown and leak tests in winter shall be performed in accordance with "Regulations for Start-up (Shutdown) or Leak Tests of Piping in Winter” (GOST 32569-2013 Annex Б), otherwise specified in codes or standards;
- material of the supporting elements shall be used considering the average coldest 5-day period of the given region with probability 0,92.
The absolute minimum temperature, the temperature of the coldest 5-day period with probability 0.92 is applied in accordance with SP 131.13330.2018, in case such data is not available in the specified code – as per results of metocean and geotechnical data.
For chromium-molybdenum steels, the minimum temperature, at which the pressure pipeline is allowed to start, is 0°C.
</t>
  </si>
  <si>
    <t>Chap. 4.1.2</t>
  </si>
  <si>
    <t>Chap. 4.1.12</t>
  </si>
  <si>
    <t>P 16/37</t>
  </si>
  <si>
    <t>4.1.13 The need for PWHT shall be indicated in the detailed design documentation. The following shall be subjected to mandatory heat treatment:
Voir le chapitre…</t>
  </si>
  <si>
    <t>Chap. 4.1.13</t>
  </si>
  <si>
    <t>P 18/37</t>
  </si>
  <si>
    <t>4.3 Piping Valves : voir le chapitre et tableau</t>
  </si>
  <si>
    <t>Chap. 4.4</t>
  </si>
  <si>
    <t>P 22/37</t>
  </si>
  <si>
    <t xml:space="preserve"> 4.4 Flanged Joints 
../..
4.5 Fasteners
../..
4.6. Gaskets
../..
4.7 Expansion Joints 
../..
4.8 Piping Supports</t>
  </si>
  <si>
    <t>5.0 WELD JOINTS</t>
  </si>
  <si>
    <t>P 31/37</t>
  </si>
  <si>
    <t>5.4 Quality control scope and methods for piping weld joints as per requirements of GOST 32569-2013
5.5 Non-destructive inspection shall be performed for 100% (all weld joints) for flare systems piping. 
5.6 Scope of quality control for piping subjected to strength and leakage pneumatic tests shall be as follows:
 - 100% of all longitudinal welds - 10% of all circular welds 
5.7. Control method (ultrasonic, X-ray, combination of the both methods) shall be selected based on the ability to ensure the most complete and accurate revealing of weld defects of a particular type considering specifics of the metal physical properties and this control method.</t>
  </si>
  <si>
    <t>Pesage au port</t>
  </si>
  <si>
    <t xml:space="preserve"> 6.0 TESTING</t>
  </si>
  <si>
    <t>P 32/37</t>
  </si>
  <si>
    <t>8.4 In case the materials per Russian standards (GOST etc.) are not available, the respective ASME materials shall be used. In case ASME materials are applied, the requirements of ASME B31.1, ASME B31.3 etc. shall be additionally followed depending on the scope of application</t>
  </si>
  <si>
    <t>P 35/37</t>
  </si>
  <si>
    <t xml:space="preserve">8.1 This section includes the mandatory list of the piping systems to be designed in accordance with the Russian standards (GOST etc.):
- cooling water supply;
- fire water supply;
- process water;
- process air;
- instrument air (low alloy steel);
- nitrogen;
- natural gas;
- LP gas and condensate;
- heating water;
- hot water;
- flare system;
- drainage system.
</t>
  </si>
  <si>
    <t>Piping Design Systems</t>
  </si>
  <si>
    <t>Chap. 8.1</t>
  </si>
  <si>
    <t xml:space="preserve">Heat_Insulation__Piping_and_Equipment </t>
  </si>
  <si>
    <t>P 8/36</t>
  </si>
  <si>
    <t>A. Pipelines and equipment shall be insulated, if it is specified in the bill of technical and installation works (VT) in “TI” section, P&amp;IDs, line lists, piping isometric drawings, or other applicable document.
B. The surface temperature of insulated pipelines and equipment shall comply with the requirements of SP 61.13330.2012 Thermal Insulation of Equipment and Pipelines. Revised edition of SNiP 41-03-2003
C. Personnel protection should be applied in the following cases: 
- indoors, the temperature of surfaces accessible to maintenance personnel should not exceed 45 °C; 
- outdoors, the temperature of surfaces accessible for maintenance personnel should not exceed 60 °C.
D. The thickness of insulation attached to pipelines, vessels and equipment should be determined considering operating temperatures, the size of insulated items, characteristics of applied thermal insulation materials according to the methodology described in SP 61.13330.2012.
../..
For flanged valves and flanged joints, removable insulation should be applied in order to facilitate inspection and maintenance../.. For flanged valves and 
flanged joints, removable insulation should be applied in order to facilitate inspection and maintenance../..</t>
  </si>
  <si>
    <t xml:space="preserve">F. For the pipelines and equipment with a nominal pipe size 100 mm or less, the main insulation materials should be molded into cylindrical sections, be solid or consist of half sections.
G. For the pipelines and equipment with a nominal size above 100 mm, as well as for the pipelines and equipment with a nominal size 100 mm or less, for which the molded products are hard to select, the main insulation materials shall be made of blanket type thermal insulation. If it is not possible to select molded thermal insulating products or blanket type thermal insulation for pipelines with a nominal size less than 50 mm, it is allowed to use a fiber-glass unwoven stitched cloth ПСХ-Т-450 according to TU 6-48-97-93 or similar. For the material specifications ref. to para 2.2. A.3.
H. Wired blankets made of continuous basalt fibre shall be covered with steel mesh for permanent insulation.  Insulation blankets made of wired blankets in a 
covering made of structural fabric T-23R (up to 450°C) or silica fabric KT-11 (over 450°C).
I. In justified cases, in order to reduce the insulation thickness and increase the service life when exposed to temperatures 400 °C or more (bonding components in mineral wool tend to “burn out”), aerogel-based thermal insulation can be used. </t>
  </si>
  <si>
    <t>P 11/36</t>
  </si>
  <si>
    <t>A. Thermal insulation to maintain the../..
1. Material type: mineral wool based on basalt  
2. Material type: aerogel-based insulation
3. Material type: fiber-glass unwovenstitched cloth 
B. Removable insulation shall be applied to unsulate hatches, flange connections, valves, expansion joints, measurement and check up points of 
the insulaterd surfaces and equipment items ../..</t>
  </si>
  <si>
    <t>2.3 Materials of Cover ../..Cover is made of aluminum and aluminum alloys. Coating thickness depends on the outer diameter of the insulation:
Up to 1600 : 0.8 mm // More than 1600: 1.0 mm</t>
  </si>
  <si>
    <t>Chap. 2.4</t>
  </si>
  <si>
    <t>P 15/36</t>
  </si>
  <si>
    <t xml:space="preserve"> 3.8 Application: Insulation for Instrumenta-
tion, Control and Automation Equipment (In-
strument) </t>
  </si>
  <si>
    <t>P 33/36</t>
  </si>
  <si>
    <t>GCC-CC7-PF-00000-OP-TSP-2003</t>
  </si>
  <si>
    <t>3.10 REQUIREMENTS FOR FACTORY ACCEPTANCE TEST OF PUMPS</t>
  </si>
  <si>
    <t>Anciennes specs</t>
  </si>
  <si>
    <t>Technical requirements for static equipment</t>
  </si>
  <si>
    <t>Basic principles of winterization philosophy</t>
  </si>
  <si>
    <t>GCC-CC7-PM-00000-ME-TSP-00008_AA_2</t>
  </si>
  <si>
    <t>Technical requirements for package units</t>
  </si>
  <si>
    <t>GCC-CC7-PM-00000-ME-TSP-00006</t>
  </si>
  <si>
    <t>_00_2</t>
  </si>
  <si>
    <t>GCC-CC7-PM-00000-ME-TSP-00001</t>
  </si>
  <si>
    <t>_AA_2 (1)</t>
  </si>
  <si>
    <t>P 5/63</t>
  </si>
  <si>
    <t>Cette spec resemble à la réquisition du Package</t>
  </si>
  <si>
    <t>Chapitre identique aux révisions précédentes</t>
  </si>
  <si>
    <t>Responsabilités / Obligations</t>
  </si>
  <si>
    <t>P 6/63</t>
  </si>
  <si>
    <r>
      <t xml:space="preserve">../..
The term package unit as used herein is considered as any pre-assembled piece of equipment made of individual components with the intent of creating and (or) controlling a desired function of a process. Further the unit is intended to be complete before delivery from the manufacturer to site and does not require any other construction activity, other than installation on its foundation and connection where applicable of inter connecting pipes, and hookup of power, utilities sources and dependent external controls.
A package unit can either consist of one single unit installed on its own designated base plate, or multiple units or components installed on different locations or floor levels and with or without its own base plate. </t>
    </r>
    <r>
      <rPr>
        <b/>
        <sz val="11"/>
        <rFont val="Calibri"/>
        <family val="2"/>
        <scheme val="minor"/>
      </rPr>
      <t>A package unit shall be defined by its function ../..</t>
    </r>
  </si>
  <si>
    <t>P 8/63</t>
  </si>
  <si>
    <t>Chap. 4.1</t>
  </si>
  <si>
    <t>P 9/63</t>
  </si>
  <si>
    <t>Liste des GOST, CUTR etc…</t>
  </si>
  <si>
    <t xml:space="preserve">4.2. Project Specifications </t>
  </si>
  <si>
    <t>Chap. 4.2</t>
  </si>
  <si>
    <t xml:space="preserve"> GCC-CC7-PM-00000-HV-TSP-00001. Refer to</t>
  </si>
  <si>
    <t>Technical Specification for design of HVAC</t>
  </si>
  <si>
    <t>• GCC-CC7-PM-00000-CI-TSP-00002. Design</t>
  </si>
  <si>
    <t xml:space="preserve">Criteria for Steel Structures </t>
  </si>
  <si>
    <t>• GCC-CC7-PM-00000-CI-TSP-00003. External</t>
  </si>
  <si>
    <t xml:space="preserve">Painting Specification </t>
  </si>
  <si>
    <t>• GCC-CC7-PM-00000-CI-TSP-00005. Design</t>
  </si>
  <si>
    <t xml:space="preserve">Criteria for corrosion protection, PFP and CSP </t>
  </si>
  <si>
    <t>• GCC-CC7-PM-00000-CI-TSP-00008. Design</t>
  </si>
  <si>
    <t>Criteria for Buildings</t>
  </si>
  <si>
    <t>• GCC-CC7-PM-00000-EL-TSP-00001. Electrical</t>
  </si>
  <si>
    <t>Basis of Design. Requirements to plant facilities</t>
  </si>
  <si>
    <t xml:space="preserve">electric supply engineering </t>
  </si>
  <si>
    <t>• GCC-CC7-PM-00000-EL-TSP-00002. Technical</t>
  </si>
  <si>
    <t xml:space="preserve">Requirements to LV variable frequency drives </t>
  </si>
  <si>
    <t>• GCC-CC7-PM-00000-EL-TSP-00003. Technical</t>
  </si>
  <si>
    <t>requirements to power transformers</t>
  </si>
  <si>
    <t>• GCC-CC7-PM-00000-EL-TSP-00004. Technical</t>
  </si>
  <si>
    <t xml:space="preserve">requirements to electrical motors </t>
  </si>
  <si>
    <t>GCC-CC7-PM-00000-EL-TSP-00005. Technical</t>
  </si>
  <si>
    <t xml:space="preserve">requirements to UPSs </t>
  </si>
  <si>
    <t>• GCC-CC7-PM-00000-EL-TSP-00006. Technical</t>
  </si>
  <si>
    <t>requirements to MV switchgear</t>
  </si>
  <si>
    <t>• GCC-CC7-PM-00000-EL-TSP-00007. Technical</t>
  </si>
  <si>
    <t xml:space="preserve">requirements to LV switchgear </t>
  </si>
  <si>
    <t>• GCC-CC7-PM-00000-EL-TSP-00008. Technical</t>
  </si>
  <si>
    <t xml:space="preserve">requirements to power cables </t>
  </si>
  <si>
    <t>• GCC-CC7-PM-00000-EL-TSP-00009. Technical</t>
  </si>
  <si>
    <t xml:space="preserve">requirements to MV variable frequency drive </t>
  </si>
  <si>
    <t>• GCC-CC7-PM-00000-EL-TSP-00010. Technical</t>
  </si>
  <si>
    <t>requirements to electrical tracing systems</t>
  </si>
  <si>
    <t>• GCC-CC7-PM-00000-EL-TSP-00011. Technical</t>
  </si>
  <si>
    <t xml:space="preserve">requirements package units electrical equipment </t>
  </si>
  <si>
    <t>• GCC-CC7-PM-00000-EL-TSP-00012. Technical</t>
  </si>
  <si>
    <t xml:space="preserve">requirements to </t>
  </si>
  <si>
    <t xml:space="preserve">lightning protection and </t>
  </si>
  <si>
    <t xml:space="preserve">grounding systems </t>
  </si>
  <si>
    <t>• GCC-CC7-PM-00000-EL-TSP-00017. Technical</t>
  </si>
  <si>
    <t>requirements to lighting systems</t>
  </si>
  <si>
    <t>• GCC-CC7-PM-00000-EL-TSP-00018. Technical</t>
  </si>
  <si>
    <t>Requirements to power factor compensation</t>
  </si>
  <si>
    <t xml:space="preserve">equipment </t>
  </si>
  <si>
    <t>• GCC-CC7-PM-00000-IN-TSP-00001. Technical</t>
  </si>
  <si>
    <t xml:space="preserve">specifications for instrumental cables </t>
  </si>
  <si>
    <t>• GCC-CC7-PM-00000-IN-TSP-00002. Technical</t>
  </si>
  <si>
    <t>specifications for Instrumentation</t>
  </si>
  <si>
    <t>• GCC-CC7-PM-00000-IN-TSP-00003. Technical</t>
  </si>
  <si>
    <t xml:space="preserve">specifications for Analyzer Systems </t>
  </si>
  <si>
    <t>• GCC-CC7-PM-00000-IN-TSP-00004. Interface</t>
  </si>
  <si>
    <t>between Electical an Instrumental parts. Typical</t>
  </si>
  <si>
    <t xml:space="preserve">connections with electrical equipment. </t>
  </si>
  <si>
    <t>• GCC-CC7-PM-00000-IN-TSP-00005. Typical</t>
  </si>
  <si>
    <t>instrument air piping details;</t>
  </si>
  <si>
    <t>• GCC-CC7-PM-00000-IN-TSP-00006. Typical</t>
  </si>
  <si>
    <t xml:space="preserve">instrumentation mounting details </t>
  </si>
  <si>
    <t>• GCC-CC7-PM-00000-IN-TSP-00007. Typical</t>
  </si>
  <si>
    <t xml:space="preserve">instrument process piping details </t>
  </si>
  <si>
    <t>• GCC-CC7-PM-00000-IN-TSP-00008. Technical</t>
  </si>
  <si>
    <t xml:space="preserve">specifications for radiometric instruments </t>
  </si>
  <si>
    <t>• GCC-CC7-PM-00000-IN-TSP-00009. Technical</t>
  </si>
  <si>
    <t>specifications for package unit instrumentation</t>
  </si>
  <si>
    <t>• GCC-CC7-PM-00000-IN-TSP-00010. Technical</t>
  </si>
  <si>
    <t>specification for Instrument junction boxes and</t>
  </si>
  <si>
    <t>local panels</t>
  </si>
  <si>
    <t xml:space="preserve"> GCC-MAC-PM-00000-IN-TSP-00023. Technical</t>
  </si>
  <si>
    <t>requirements to the engineering of Rotating</t>
  </si>
  <si>
    <t xml:space="preserve">Equipment Vibro Monitoring Systems </t>
  </si>
  <si>
    <t>• GCC-CC7-PM-00000-PE-PRO-00204.</t>
  </si>
  <si>
    <t>Procedure for identification of equipment, valves</t>
  </si>
  <si>
    <t xml:space="preserve">and pipelines, buildings and structures </t>
  </si>
  <si>
    <t>• GCC-CC7-PM-00000-PE-PRO-00209. P&amp;IDs</t>
  </si>
  <si>
    <t xml:space="preserve">Model Development Procedure. </t>
  </si>
  <si>
    <t>• GCC-CC7-PM-00000-PI-TSP-00001. Technical</t>
  </si>
  <si>
    <t xml:space="preserve">Requirements </t>
  </si>
  <si>
    <t xml:space="preserve">to pipelines engineering, </t>
  </si>
  <si>
    <t xml:space="preserve">installation and acceptance </t>
  </si>
  <si>
    <t>• GCC-CC7-PM-00000-PE-SPE-00216. 3D Model</t>
  </si>
  <si>
    <t>Specification</t>
  </si>
  <si>
    <t>• GCC-CC7-PM-00000-ME-TSP-00001.</t>
  </si>
  <si>
    <t xml:space="preserve">Technical requirements for static equipment </t>
  </si>
  <si>
    <t>• GCC-CC7-PM-00000-ME-TSP-00002.</t>
  </si>
  <si>
    <t xml:space="preserve">Technical requirements for dynamic equipment </t>
  </si>
  <si>
    <t>• GCC-CC7-PF-00000-EL-TSP-9004. Electric</t>
  </si>
  <si>
    <t>Motors Specification</t>
  </si>
  <si>
    <t>• GCC-CC7-PM-00000-ME-TSP-00008. Basic</t>
  </si>
  <si>
    <t xml:space="preserve">principles of winterization philosophy </t>
  </si>
  <si>
    <t>• GCC-CC7-PM-00000-ME-TSP-00009.</t>
  </si>
  <si>
    <t xml:space="preserve">Heatinsulation of pipelines and equipment </t>
  </si>
  <si>
    <t xml:space="preserve">• GCC-TGI-SE-00000-EH-REP-00001. </t>
  </si>
  <si>
    <t>Engineering and Hydrometeorological Surveys</t>
  </si>
  <si>
    <t>GCC-CC7-PM-00000-PI-TSP-00003. Strength</t>
  </si>
  <si>
    <t>analysys (pipelines) manual</t>
  </si>
  <si>
    <t>GCC-CC7-PM-00000-PI-TSP-00004. Technical</t>
  </si>
  <si>
    <t>Requirements to pipeline valves (shut-off and</t>
  </si>
  <si>
    <t>safety relief valves)</t>
  </si>
  <si>
    <t>GCC-CC7-PM-00000-PI-TSP-00005. Technical</t>
  </si>
  <si>
    <t>Requirements to pipeline materials (pipes,</t>
  </si>
  <si>
    <t>fittings, flanges and boltings, and gaskets)</t>
  </si>
  <si>
    <t>• GCC-CC7-PM-00000-PI-TSP-00006. Lifting</t>
  </si>
  <si>
    <t xml:space="preserve">machines and structures Specification </t>
  </si>
  <si>
    <t>• GCC-MAC-PM-00000-IN-TSP-00018. Technical</t>
  </si>
  <si>
    <t>requirements for Operator training simulator</t>
  </si>
  <si>
    <t>spec</t>
  </si>
  <si>
    <t xml:space="preserve">GCC-CC7-PM-00000-EL-TSP-00005. Technicalrequirements to UPSs </t>
  </si>
  <si>
    <t>GCC-CC7-PM-00000-PI-TSP-00003. Strengthanalysys (pipelines) manual</t>
  </si>
  <si>
    <t>GCC-CC7-PM-00000-PI-TSP-00004. TechnicalRequirements to pipeline valves (shut-off andsafety relief valves)</t>
  </si>
  <si>
    <t>GCC-CC7-PM-00000-PI-TSP-00005. TechnicalRequirements to pipeline materials (pipes,fittings, flanges and boltings, and gaskets)</t>
  </si>
  <si>
    <t>GCC-CC7-PM-00000-HV-TSP-00001. Refer toTechnical Specification for design of HVACSystems</t>
  </si>
  <si>
    <t xml:space="preserve">GCC-CC7-PM-00000-CI-TSP-00002. DesignCriteria for Steel Structures </t>
  </si>
  <si>
    <t xml:space="preserve">GCC-CC7-PM-00000-CI-TSP-00003. ExternalPainting Specification </t>
  </si>
  <si>
    <t xml:space="preserve">GCC-CC7-PM-00000-CI-TSP-00005. DesignCriteria for corrosion protection, PFP and CSP </t>
  </si>
  <si>
    <t>GCC-CC7-PM-00000-CI-TSP-00008. DesignCriteria for Buildings</t>
  </si>
  <si>
    <t xml:space="preserve">GCC-CC7-PM-00000-EL-TSP-00001. ElectricalBasis of Design. Requirements to plant facilitieselectric supply engineering </t>
  </si>
  <si>
    <t xml:space="preserve">GCC-CC7-PM-00000-EL-TSP-00002. TechnicalRequirements to LV variable frequency drives </t>
  </si>
  <si>
    <t>GCC-CC7-PM-00000-EL-TSP-00003. Technicalrequirements to power transformers</t>
  </si>
  <si>
    <t xml:space="preserve">GCC-CC7-PM-00000-EL-TSP-00004. Technicalrequirements to electrical motors </t>
  </si>
  <si>
    <t>GCC-CC7-PM-00000-EL-TSP-00006. Technicalrequirements to MV switchgear</t>
  </si>
  <si>
    <t xml:space="preserve">GCC-CC7-PM-00000-EL-TSP-00007. Technicalrequirements to LV switchgear </t>
  </si>
  <si>
    <t xml:space="preserve">GCC-CC7-PM-00000-EL-TSP-00008. Technicalrequirements to power cables </t>
  </si>
  <si>
    <t xml:space="preserve">GCC-CC7-PM-00000-EL-TSP-00009. Technicalrequirements to MV variable frequency drive </t>
  </si>
  <si>
    <t>GCC-CC7-PM-00000-EL-TSP-00010. Technicalrequirements to electrical tracing systems</t>
  </si>
  <si>
    <t xml:space="preserve">GCC-CC7-PM-00000-EL-TSP-00011. Technicalrequirements package units electrical equipment </t>
  </si>
  <si>
    <t xml:space="preserve">GCC-CC7-PM-00000-EL-TSP-00012. Technicalrequirements to lightning protection and grounding systems </t>
  </si>
  <si>
    <t>GCC-CC7-PM-00000-EL-TSP-00017. Technicalrequirements to lighting systems</t>
  </si>
  <si>
    <t xml:space="preserve">GCC-CC7-PM-00000-EL-TSP-00018. TechnicalRequirements to power factor compensationequipment </t>
  </si>
  <si>
    <t xml:space="preserve">GCC-CC7-PM-00000-IN-TSP-00001. Technicalspecifications for instrumental cables </t>
  </si>
  <si>
    <t>GCC-CC7-PM-00000-IN-TSP-00002. Technicalspecifications for Instrumentation</t>
  </si>
  <si>
    <t xml:space="preserve">GCC-CC7-PM-00000-IN-TSP-00003. Technicalspecifications for Analyzer Systems </t>
  </si>
  <si>
    <t xml:space="preserve">GCC-CC7-PM-00000-IN-TSP-00004. Interfacebetween Electical an Instrumental parts. Typicalconnections with electrical equipment. </t>
  </si>
  <si>
    <t>GCC-CC7-PM-00000-IN-TSP-00005. Typicalinstrument air piping details;</t>
  </si>
  <si>
    <t xml:space="preserve">GCC-CC7-PM-00000-IN-TSP-00006. Typicalinstrumentation mounting details </t>
  </si>
  <si>
    <t xml:space="preserve">GCC-CC7-PM-00000-IN-TSP-00007. Typicalinstrument process piping details </t>
  </si>
  <si>
    <t xml:space="preserve">GCC-CC7-PM-00000-IN-TSP-00008. Technicalspecifications for radiometric instruments </t>
  </si>
  <si>
    <t>GCC-CC7-PM-00000-IN-TSP-00009. Technicalspecifications for package unit instrumentation</t>
  </si>
  <si>
    <t>GCC-CC7-PM-00000-IN-TSP-00010. Technicalspecification for Instrument junction boxes andlocal panels</t>
  </si>
  <si>
    <t xml:space="preserve">GCC-MAC-PM-00000-IN-TSP-00023. Technicalrequirements to the engineering of RotatingEquipment Vibro Monitoring Systems </t>
  </si>
  <si>
    <t xml:space="preserve">GCC-CC7-PM-00000-PE-PRO-00204.Procedure for identification of equipment, valvesand pipelines, buildings and structures </t>
  </si>
  <si>
    <t xml:space="preserve">GCC-CC7-PM-00000-PE-PRO-00209. P&amp;IDsModel Development Procedure. </t>
  </si>
  <si>
    <t xml:space="preserve">GCC-CC7-PM-00000-PI-TSP-00001. TechnicalRequirements to pipelines engineering, installation and acceptance </t>
  </si>
  <si>
    <t>GCC-CC7-PM-00000-PE-SPE-00216. 3D ModelSpecification</t>
  </si>
  <si>
    <t xml:space="preserve">GCC-CC7-PM-00000-ME-TSP-00001.Technical requirements for static equipment </t>
  </si>
  <si>
    <t xml:space="preserve">GCC-CC7-PM-00000-ME-TSP-00002.Technical requirements for dynamic equipment </t>
  </si>
  <si>
    <t>GCC-CC7-PF-00000-EL-TSP-9004. ElectricMotors Specification</t>
  </si>
  <si>
    <t xml:space="preserve">GCC-CC7-PM-00000-ME-TSP-00008. Basicprinciples of winterization philosophy </t>
  </si>
  <si>
    <t xml:space="preserve">GCC-CC7-PM-00000-ME-TSP-00009.Heatinsulation of pipelines and equipment </t>
  </si>
  <si>
    <t>GCC-TGI-SE-00000-EH-REP-00001. Engineering and Hydrometeorological Surveys</t>
  </si>
  <si>
    <t xml:space="preserve">GCC-CC7-PM-00000-PI-TSP-00006. Liftingmachines and structures Specification </t>
  </si>
  <si>
    <t>GCC-MAC-PM-00000-IN-TSP-00018. Technicalrequirements for Operator training simulator</t>
  </si>
  <si>
    <t>Liste Specs suivant GCC-CC7-PM-00000-ME-TSP-00006</t>
  </si>
  <si>
    <t>Liste des spec (voir onglet)</t>
  </si>
  <si>
    <t>Involved parties</t>
  </si>
  <si>
    <t>terms and definitions</t>
  </si>
  <si>
    <t>P 14/63</t>
  </si>
  <si>
    <t>Abbreviations</t>
  </si>
  <si>
    <t>P 15/63</t>
  </si>
  <si>
    <t>20-25m seal level !
Airport de St Petersburg (Pulkovo Air port)
Port Ust-Luga</t>
  </si>
  <si>
    <t>Chap. 7.3</t>
  </si>
  <si>
    <t>P 16/63</t>
  </si>
  <si>
    <t xml:space="preserve">Site data </t>
  </si>
  <si>
    <t>Chap. 7.3.1</t>
  </si>
  <si>
    <t>P 17/63</t>
  </si>
  <si>
    <t xml:space="preserve">• Absolute maximum temperature 35°C </t>
  </si>
  <si>
    <t>Maximum air temperature to be used for air cooler design is plus 30°C.
../..</t>
  </si>
  <si>
    <t xml:space="preserve">• The coldest 5 day period with probability of 0.92 is minus 25°С;
• Coldest whole day with probability of 0.98 is minus 35°С;
• Minimum temperature minus 39°C. </t>
  </si>
  <si>
    <t xml:space="preserve">Wet bulb temperature for cooling tower design is 21,3°С.
Dry bulb temperature for design of cooling towers is 25°С.
</t>
  </si>
  <si>
    <t>P 18/63</t>
  </si>
  <si>
    <t>P 19/63</t>
  </si>
  <si>
    <t>The blats loads requirements are listed in GCCCC7-PM-00000-CI-TSP-00002.</t>
  </si>
  <si>
    <t>Zone Atex / Hazardous Area</t>
  </si>
  <si>
    <t>Passive Fire Protection (PFP)</t>
  </si>
  <si>
    <t>P 20/63</t>
  </si>
  <si>
    <t>P 21/63</t>
  </si>
  <si>
    <t>Chap. 8.3</t>
  </si>
  <si>
    <t>80dbA à 1 m</t>
  </si>
  <si>
    <t>Noise enclosure</t>
  </si>
  <si>
    <t>Voir la spec (décrit les conditions de design d'une cabine anti bruit !)</t>
  </si>
  <si>
    <t>Chap. 8.4.1</t>
  </si>
  <si>
    <t>P 22/63</t>
  </si>
  <si>
    <t>Supplier shall evaluate the vibrations and frequency generated by any rotating items inside the Package as well as its effect to the connected piping and support structure/foundation and refer to dedicated datasheet in Material Requisition, ifany. 
../.. mettre des plots anti vibrations ../..
Detailed requirements for vibration monitoring are described in technical specification GCC-MACPM-00000-IN-TSP-00023.</t>
  </si>
  <si>
    <t>Chap. 8.5</t>
  </si>
  <si>
    <t>P 23/63</t>
  </si>
  <si>
    <t>Chap. 8.6</t>
  </si>
  <si>
    <t>P 24/63</t>
  </si>
  <si>
    <t>voir le chapitre… Abestos…</t>
  </si>
  <si>
    <t>Prohibited substances</t>
  </si>
  <si>
    <t>MSDS (when chemicals are provided)</t>
  </si>
  <si>
    <t xml:space="preserve">For Suppliers using or/and providing chemicals as part of the package scope of supply, the selection and use of chemical products shall be based on information contained in the Material Safety Data
Sheet (MSDS). Given the same purpose, chemicals of less toxic in nature should be selected.
</t>
  </si>
  <si>
    <t>Chap. 8.7</t>
  </si>
  <si>
    <t>Identification et estimation des déchets et de leur toxicité</t>
  </si>
  <si>
    <t xml:space="preserve">Spill and leakage prevention </t>
  </si>
  <si>
    <t>c'est dans le cas de "stick built" nous devons mettre des drip pans !</t>
  </si>
  <si>
    <t>Personal protection</t>
  </si>
  <si>
    <t>Chap. 8.9</t>
  </si>
  <si>
    <t>Chap. 8.10</t>
  </si>
  <si>
    <t>P 26/63</t>
  </si>
  <si>
    <t>Chap. 8.11</t>
  </si>
  <si>
    <t>P 27/63</t>
  </si>
  <si>
    <t>Life cycle for equipment and process piping system shall be 20 years, for power piping – 30 years, structure life cycle shall be 50 years.  
../..</t>
  </si>
  <si>
    <t>P 29/63</t>
  </si>
  <si>
    <t>Numberring / Tagging</t>
  </si>
  <si>
    <t>²</t>
  </si>
  <si>
    <r>
      <t xml:space="preserve">The minimum period of uninterrupted operation should </t>
    </r>
    <r>
      <rPr>
        <sz val="12"/>
        <color rgb="FFFF0000"/>
        <rFont val="Calibri"/>
        <family val="2"/>
        <scheme val="minor"/>
      </rPr>
      <t xml:space="preserve">be 4 years, </t>
    </r>
    <r>
      <rPr>
        <sz val="11"/>
        <color theme="1"/>
        <rFont val="Calibri"/>
        <family val="2"/>
        <scheme val="minor"/>
      </rPr>
      <t xml:space="preserve">with a maintenance concept aimed at ensuring the reliability of the equipment (RCM). 
The overhaul life of the package unit and the frequency of technical inspections shall be at least 4 years. The specified requirements shall be reflected by the Supplier in the design and operational documentation, unless more stringent requirements are specified in the data sheet (or technical project). 
The frequency and the extent of vessels technical examination during operation can be determined by the risk-based RBI methodology (Risk-Based Inspections) in accordance with API RP 580 and API RP 581 standards and shall be reflected in the package unit operating manual. </t>
    </r>
  </si>
  <si>
    <t>PID std / software</t>
  </si>
  <si>
    <t xml:space="preserve">PID preparation shall follow P&amp;ID model
development procedure GCC-C7-PM-00000-PEPRO-00209.
</t>
  </si>
  <si>
    <t>P 30/63</t>
  </si>
  <si>
    <t xml:space="preserve">Isolation in following services shall be made by double isolation valves:
• toxic fluids not vented via PSV, independently of the design pressure;
• flammable fluids with design pressure equal or greater than 4000 kPag;
• CO2, nonflammable fluids with design pressure equal or greater than 4000 kPag.
The detailed requirements for the fittings can be found in the technical specification GCC-CC7-PM00000-PI-TSP-00004.
All cooling water exchangers shall be provided with isolation valves and thermal expansion relief valves. 
All control valves shall be provided with isolation valves and by-pass valve if necessary.
All arrangement shall be as per P&amp;IDs legend sheets attached to material requisition.
</t>
  </si>
  <si>
    <t xml:space="preserve">Utilities  </t>
  </si>
  <si>
    <t xml:space="preserve">The available utilities data shall be understood as operating and design conditions at Battery limit of package. 
Supplier specific requirements for utilities shall be clearly notified to Subcontractor (special utility type and characteristics, specification utility operating &amp; design conditions at battery limit).
</t>
  </si>
  <si>
    <t>P 34/63</t>
  </si>
  <si>
    <t xml:space="preserve"> HUMAN FACTOR ENGINEERING &amp; WORKING ENVIRONMENT</t>
  </si>
  <si>
    <t xml:space="preserve">12.1. Baseframes for machinery / skid - Base plates that are designed with walkway areas which are higher than 350 mm above grade shall be equipped with a guard railing surrounding the walkway area. Guardrails of the tubular type are preferred. If frequent access is required and if the top of the machine base frame is higher than 400 mm, stairway access to the base frame shall be considered. 
... etc... ../..
12.2. Equipment - Manholes, handholes, coupling guards, covers, junction boxes etc. shall never be obscured by stairs, ladders, railings, piping, conduit, etc. ../..
12.3. Electrical components - Design, supply of package unit in the part of electrical supply must comply with technical requirements of GCC-CC7-PM-00000-EL-TSP00011 " Technical requirements package units electrical equipment", GCC-CC7-PM-00000-ELTSP-00001 " Electrical Basis of Design. Requirements to plant facilities electric supply engineering". 
12.4. Instrumentation - All instruments and valves required for controlled start-up or emergency shut-down of the unit should be mounted as much as practically feasible at the same side of the unit and be easily accessible/ visible from adjacent walkways. ../..
12.5. Local Control Panels ../..
12.6. Piping arrangement ../..
12.7. Valves ../.. 
12.8. Items Labeling  .../..
</t>
  </si>
  <si>
    <t>Labelling</t>
  </si>
  <si>
    <t>P 39/63</t>
  </si>
  <si>
    <t>Chap. 12.8</t>
  </si>
  <si>
    <t xml:space="preserve">../.. All nameplates signs, warning labels, instructions, etc. must be in Russian and English and in the same font. </t>
  </si>
  <si>
    <t>Design criteria</t>
  </si>
  <si>
    <t>Chap. 13.1</t>
  </si>
  <si>
    <t>The design of package units shall be compliant with:
• GCC-CC7-PM-00000-CI-TSP-00002 Design Criteria for Steel Structures;
• GCC-CC7-PM-00000-CI-TSP-00003 External Painting Specification;
• GCC-CC7-PM-00000-CI-TSP-00005 Design Criteria for corrosion protection, PFP and CSP;
• GCC-CC7-PM-00000-CI-TSP-00008 Design Criteria for Buildings. 
../..</t>
  </si>
  <si>
    <t>Chap. 8.8
&amp; 13.7.1</t>
  </si>
  <si>
    <t>P 25/63
&amp; P 43</t>
  </si>
  <si>
    <t>Supplier shall design and manufacture the Package in such way that spill and leakage are prevented as much as possible through proper ../.. Design../.. Pumps wxith seal systems ../.. In order to limit the damage in case of flammable noxious, toxic, highly toxic and chemically hazardous ( aggressive) liquid spillage, Suppliers shall indicate if the area of installation of the Package shall be paved and specially drained, and how (separate drains, closed drains, etc). 
Drip pan shall be provided by Supplier to prevent any spill of liquids. All rain water and any spill of liquids shall be collected in a single drain port. ../.. a minimum slope of 1:100 ../..</t>
  </si>
  <si>
    <t>Client / contractor / Vendor</t>
  </si>
  <si>
    <t>../.. Supplier can use their own piping classes. Substitution of the materials indicated in the Technical Specification by Supplier is allowed provided it is approved by Customer. ../..</t>
  </si>
  <si>
    <t>P 43/63</t>
  </si>
  <si>
    <t>P 44/63</t>
  </si>
  <si>
    <t xml:space="preserve">Rotating equipment within the Package unit shall comply with the Technical requirements for dynamic equipment GCC-CC7-PM-00000-METSP-00002 and Technical requirements to electrical motors GCC-CC7-PM-00000-EL-TSP00004. ../..
</t>
  </si>
  <si>
    <t>Chap. 14.1
&amp; 13.7.1</t>
  </si>
  <si>
    <t>P 44/63
&amp; P 43</t>
  </si>
  <si>
    <t>Chap. 14.2
&amp; 13.7.1</t>
  </si>
  <si>
    <t>P 45/63
&amp; P 43</t>
  </si>
  <si>
    <t>Pressure vessels of the Package unit shall comply with Technical requirements for static equipment GCC-CC7-PM-00000-ME-TSP-00001. ../..
Si cyclique, avec fatigue analysis..
Stainers with self draining ou sans arreter le process…</t>
  </si>
  <si>
    <t>Chap. 14.</t>
  </si>
  <si>
    <t>P 45/63</t>
  </si>
  <si>
    <r>
      <t xml:space="preserve">Instrumentation and Control System shall comply with the following documents:
• GCC-CC7-PM-00000-IN-TSP-00001 Technical specifications for instrumental cables
</t>
    </r>
    <r>
      <rPr>
        <sz val="11"/>
        <color rgb="FFFF0000"/>
        <rFont val="Calibri"/>
        <family val="2"/>
        <scheme val="minor"/>
      </rPr>
      <t>• GCC-CC7-PM-00000-IN-TSP-00002 Technical specifications for Instrumentation; 
• GCC-CC7-PM-00000-IN-TSP-00003 Technical specifications for Analyzer Systems;</t>
    </r>
    <r>
      <rPr>
        <sz val="11"/>
        <color theme="1"/>
        <rFont val="Calibri"/>
        <family val="2"/>
        <scheme val="minor"/>
      </rPr>
      <t xml:space="preserve">
• GCC-CC7-PM-00000-IN-TSP-00004 Interface between Electical an Instrumental parts. Typical connections with electrical equipment.; 
• GCC-CC7-PM-00000-IN-TSP-00005 Typical instrument air piping details;
• GCC-CC7-PM-00000-IN-TSP-00006 Typical instrumentation mounting details;
• GCC-CC7-PM-00000-IN-TSP-00007 Typical instrument process piping details;
• GCC-CC7-PM-00000-IN-TSP-00008 Technical specifications for radiometric instruments;
</t>
    </r>
    <r>
      <rPr>
        <sz val="11"/>
        <color rgb="FFFF0000"/>
        <rFont val="Calibri"/>
        <family val="2"/>
        <scheme val="minor"/>
      </rPr>
      <t>• GCC-CC7-PM-00000-IN-TSP-00009 Technical specifications for package unit instrumentation;</t>
    </r>
    <r>
      <rPr>
        <sz val="11"/>
        <color theme="1"/>
        <rFont val="Calibri"/>
        <family val="2"/>
        <scheme val="minor"/>
      </rPr>
      <t xml:space="preserve">
• GCC-CC7-PM-00000-IN-TSP-00010 Technical specification for Instrument junction boxes and local panels; 
• GCC-CC7-PM-00000-PE-PRO-00209 P&amp;IDs Model Development Procedure. </t>
    </r>
  </si>
  <si>
    <t>../.. Instrumentation for Package unit shall be standardized (Manufacturer and model) if required
in standardization philosophy, in order to optimize spare parts and OPEX Facilities, reduce training
requirement for Operation and Maintenance personal, ease of operability and maintenance. ../..</t>
  </si>
  <si>
    <t>Chap. 14.4</t>
  </si>
  <si>
    <t>P 46/63</t>
  </si>
  <si>
    <t>PLC</t>
  </si>
  <si>
    <t>*</t>
  </si>
  <si>
    <t xml:space="preserve">../.. When Packages are supplied with their own control and safety system(s), it shall be interfaced to the ICSS via communication links for Operation and monitoring of the Package from ICSS Operator
Workstation. PLC make for Package units shall be standardized as per project standardization and subject to Customer’s approval. ../.. </t>
  </si>
  <si>
    <t>Chap. 14.5</t>
  </si>
  <si>
    <t>P 47/63</t>
  </si>
  <si>
    <t>Electrical equipment and components shall comply with the requirements of the next documents:
• GCC-CC7-PM-00000-EL-TSP-00001 Electrical Basis of Design. Requirements to plant facilities electric supply engineering; 
• GCC-CC7-PM-00000-EL-TSP-00002 Technical Requirements to LV variable frequency drives;
• GCC-CC7-PM-00000-EL-TSP-00004 Technical requirements to electrical motors;
../..
• GCC-CC7-PM-00000-EL-TSP-00008 Technical requirements to power cables;
• GCC-CC7-PM-00000-EL-TSP-00009 Technical requirements to MV variable frequency drive; 
• GCC-CC7-PM-00000-EL-TSP-00010 Technical requirements to electrical tracing systems;
• GCC-CC7-PM-00000-EL-TSP-00011 Technical requirements package units electrical equipment; 
• GCC-CC7-PM-00000-EL-TSP-00012 Technical requirements to lightning protection and grounding systems; 
• GCC-CC7-PM-00000-EL-TSP-00014 Technical requirements to soft starters; 
• GCC-CC7-PM-00000-EL-TSP-00016 Requirements to equipment identification;
• GCC-CC7-PM-00000-EL-TSP-00017 Technical requirements to lighting systems;
• GCC-CC7-PM-00000-EL-TSP-00018 Technical Requirements to power factor compensation equipment. ../..</t>
  </si>
  <si>
    <t>P 48/63</t>
  </si>
  <si>
    <t>Chap. 14.7</t>
  </si>
  <si>
    <t>P 49/63</t>
  </si>
  <si>
    <t xml:space="preserve"> 
../.. As minimum requirement, the piping and equipment overpressure protection shall comply with doc. Emergency discharge systems design philosophy GCC-CC7-PF-00000-OP-TSP-5001. 
../..</t>
  </si>
  <si>
    <t xml:space="preserve">../..  Subcontractor and Supplier shall jointly determine the routing, locations of supports, and the final fitup welds for the interconnecting piping.
All piping interfaces shall be stamped or permanently tagged in accordance with the Supplier’s interface table. 
The selection of piping and valve materials must be guided by the technical specifications GCCCC7-PM-00000-PI-TSP-00004 and GCC-CC7PM-00000-PI-TSP-00005.
</t>
  </si>
  <si>
    <t>Chap. 14.8</t>
  </si>
  <si>
    <t xml:space="preserve">Supplier shall provide all necessary piping calculations in accordance with the requirements specified in GCC-CC7-PM-00000-PI-TSP-00003. </t>
  </si>
  <si>
    <t>Chap. 14.9</t>
  </si>
  <si>
    <t>P 50/63</t>
  </si>
  <si>
    <t>Chap. 11
&amp; 14.9</t>
  </si>
  <si>
    <t>P 31/63
&amp; 49</t>
  </si>
  <si>
    <t>Flange connections shall be used as detachable piping connections. Using of other connection types shall be approved by Customer. 
../..</t>
  </si>
  <si>
    <t>Flange connections / Joints soudés</t>
  </si>
  <si>
    <t>P 51/63</t>
  </si>
  <si>
    <t>Chap. 14.10</t>
  </si>
  <si>
    <t xml:space="preserve">../..  Detailed requirements for piping, pipe connections and shut-off valves are summarized in Technical Requirements to pipelines engineering, installation and acceptance GCC-CC7-PM-00000-PI-TSP00001. ../..
</t>
  </si>
  <si>
    <t xml:space="preserve">../.. In addition, Supplier shall install or provide loose a nameplate for each Package, as per based on the CU TR 010/2011, with the following data as a minimum: 
../..
Marking requested by CU TR Certification rules and relevant codes. These nameplates shall be in stainless steel permanently marked. ../.. of the skid. 
All signs shall be in two languages, Russian and English, and in the same font.
</t>
  </si>
  <si>
    <t>Chap. 14.11</t>
  </si>
  <si>
    <r>
      <t xml:space="preserve">Painting and protective coating shall be in accordance with Painting Technical Requirements GCC-CC7-PM-00000-CI-TSP-00003. 
However, Suppliers may propose his standard procedure as an alternate; full details of this, including surface preparation, paint specification (including details of each individual coat material
and thickness) and application details shall be submitted with the technical offer for approval. 
The equipment shall be painted by Supplier before shipping to Customer.
Supplier shall submit proposals for the repair of painting/coating at site.
</t>
    </r>
    <r>
      <rPr>
        <sz val="12"/>
        <color rgb="FFFF0000"/>
        <rFont val="Calibri"/>
        <family val="2"/>
        <scheme val="minor"/>
      </rPr>
      <t xml:space="preserve">Loose supplied prefabricated piping shall be fully painted by Supplier.
</t>
    </r>
  </si>
  <si>
    <t>P 52/63</t>
  </si>
  <si>
    <t>Chap. 15.2</t>
  </si>
  <si>
    <t>Chap. 15.1</t>
  </si>
  <si>
    <t xml:space="preserve">Piping and equipment heat tracing shall comply with Technical requirements to electrical tracing systems GCC-CC7-PM-00000-EL-TSP-00010. </t>
  </si>
  <si>
    <t>Chap. 16</t>
  </si>
  <si>
    <t>P 53/63</t>
  </si>
  <si>
    <t xml:space="preserve">Supplier shall establish and maintain the quality assurance program in accordance with ISO-9001, which shall be enforced by the qualified personnel. 
Supplier shall submit test procedures at least 12 weeks prior to the commencement of testing and covering the full extent of testing on the completed assembly. The test procedure shall be approved by Contractor prior to the commencement of testing and shall be complete with all equipment tests and checklists. 
Inspection and testing of the complete package shall be carried out in accordance with the approved Supplier project quality plan and shall comply with the  requirements of the applicable design codes, this document and the specifications attached to the Material Requisition. 
../..
Supplier shall prepare an Manufacturing report that shall include all the documentation pertaining to the supply (as construction drawings, mechanical calculations, material certificates, non destructive test certificates and radiographs, welding procedure specifications, procedure qualification reports, welder qualifications, calibration test certificates, ex-proof  certificates, hydraulic/pneumatic test certificates, etc.) and shall be always at disposal of the inspector who will check and stamp the documents as soon as available after each inspection and test.
Detailed inspection organization and schedule shall be agreed with Contractor.
</t>
  </si>
  <si>
    <t>Factory tests</t>
  </si>
  <si>
    <t>Chap. 16.1</t>
  </si>
  <si>
    <t>P 54/63</t>
  </si>
  <si>
    <t>../.. (refer to requisition !)../..
Typically, the inspections and tests (Attachement 1) can be carried out for packages components. This list is adapted to each package.  
The level of surveillance by Contractor inspectors is provided in Inspection and Test Plans (ITP) dedicated to each package. The testing procedure shall include and detail: 
• safety measures in place during the tests; 
• test installation schematic with position of control points;
• accessories used during test and if they are elements of operating or of test bed;
• instruments and their calibration procedure; 
• test parameters (like flow, pressure, temperature, speed, viscosity);
• expected ranges of values and the acceptance criteria;
• formula used to calculate the behavior in construction site conditions</t>
  </si>
  <si>
    <t>Chap. 16.2</t>
  </si>
  <si>
    <t>P 55/63</t>
  </si>
  <si>
    <t>Yard Precom comm</t>
  </si>
  <si>
    <t>Site Precom comm</t>
  </si>
  <si>
    <t>Chap. 16.3</t>
  </si>
  <si>
    <t>Chap. 16.4</t>
  </si>
  <si>
    <t>P 56/63</t>
  </si>
  <si>
    <r>
      <t xml:space="preserve">Package shall be mechanically, and performance tested at construction site under the supervision of a Supplier representative. Supplier shall review Subcontractor’s process and engineering flow schemes and recommend minimum requirements and location of test instrumentation. A fully
comprehensive Construction Site Acceptance Testing procedure including the acceptance criteria shall be developed by Supplier and reviewed and agreed by Contractor. Supplier shall advise any restrictions or conditions that may be necessary for safe operation at construction site. 
Supplier’s representative shall supervise: 
• commissioning tests of the complete set; 
• Site performance test of the complete set. 
</t>
    </r>
    <r>
      <rPr>
        <sz val="14"/>
        <color rgb="FFFF0000"/>
        <rFont val="Calibri"/>
        <family val="2"/>
        <scheme val="minor"/>
      </rPr>
      <t xml:space="preserve">Site Acceptance Testing acceptance criteria shall be developed during detailed engineering procedure </t>
    </r>
  </si>
  <si>
    <r>
      <t xml:space="preserve">Supplier shall ensure internal protection from moisture and vibration during transportation.
Supplier shall ensure that the package and equipment are adequately protected against corrosion and mechanical damage during shipment to construction site and outdoor storage
</t>
    </r>
    <r>
      <rPr>
        <sz val="12"/>
        <color rgb="FFFF0000"/>
        <rFont val="Calibri"/>
        <family val="2"/>
        <scheme val="minor"/>
      </rPr>
      <t xml:space="preserve">for period up to 12 months. </t>
    </r>
  </si>
  <si>
    <t>Protection</t>
  </si>
  <si>
    <t>Chap. 17.1</t>
  </si>
  <si>
    <t>P 57/63</t>
  </si>
  <si>
    <t xml:space="preserve"> 
Unless otherwise specified, pressure vessels and equipment with stainless steel internals shall be preserved and purged with nitrogen by Supplier prior to shipment. 
When applicable, the on-skid network subject to nitrogen purging shall be divided into several independent isolated sections at least to reduce the risk of full depressurization in case of leakage.
Each section shall be pressurized with nitrogen to prevent corrosion during shipment and construction. Supplier shall provide nitrogen filling kits with pressure gauges, nitrogen bottles and all blind and spectacle flanges wherever necessary. </t>
  </si>
  <si>
    <t xml:space="preserve">Packing </t>
  </si>
  <si>
    <t>Preservation and preparation for
shipment</t>
  </si>
  <si>
    <t>Chap. 17.2</t>
  </si>
  <si>
    <t>P 58/63</t>
  </si>
  <si>
    <t xml:space="preserve">Transportation and fastening </t>
  </si>
  <si>
    <t>Chap. 17.3</t>
  </si>
  <si>
    <t>RAS</t>
  </si>
  <si>
    <t>P 59/63</t>
  </si>
  <si>
    <t>Chap. 21</t>
  </si>
  <si>
    <t>P 61/63</t>
  </si>
  <si>
    <t>Chap. 23</t>
  </si>
  <si>
    <t>P 63/63</t>
  </si>
  <si>
    <t xml:space="preserve">23.1. Attachment 1. Inspections and Tests for
Packages Components
</t>
  </si>
  <si>
    <t>Missing Attachment</t>
  </si>
  <si>
    <r>
      <t>Supplier is requested to develop the package 3D model</t>
    </r>
    <r>
      <rPr>
        <sz val="12"/>
        <color rgb="FFFF0000"/>
        <rFont val="Calibri"/>
        <family val="2"/>
        <scheme val="minor"/>
      </rPr>
      <t>. Software used is Supplier to advice</t>
    </r>
    <r>
      <rPr>
        <sz val="11"/>
        <color theme="1"/>
        <rFont val="Calibri"/>
        <family val="2"/>
        <scheme val="minor"/>
      </rPr>
      <t xml:space="preserve">.
3D model shall be updated by Supplier at each GAD revision. 3D model submitted shall match the content of the GAD issued. 
The detailed requirements to 3D model are listed in 3D Model Specification GCC-CC7-PM-00000PE-SPE-00216.
</t>
    </r>
  </si>
  <si>
    <t>Chap. 20.2</t>
  </si>
  <si>
    <t xml:space="preserve">Supplier data </t>
  </si>
  <si>
    <t xml:space="preserve">Supplier shall collect and deliver a set of data, related to the package design and content, which are needed in the context of Information Management specified in GCC-CC7-PM-00000IM-PRO-00108 “Data Control Procedure” and GCC-CC7-PM-00000-IM-SPE-00109 “Vendor Data Specification”.
</t>
  </si>
  <si>
    <t>Chap. 20.1</t>
  </si>
  <si>
    <t>P 60/63</t>
  </si>
  <si>
    <t xml:space="preserve">Supplier shall issue documents in three stages: 
• At the stage of the Technical offer review and approval;
• At the stage of the Vendor documents review and approval (after signing the Purchase order);
• Complete with the equipment at shipping. 
The list of documents to be issued at each stage shall be submitted to Supplier as a separate document. 
Supplier documents shall clearly define the scope and battery limits of the supply.
Supplier shall submit operational and maintenance documents sufficiently detailed to understand the operation and maintenance rules for each equipment item as also provide equipment operation parameters in order to simulate the operation of the plant on a digital training simulator of the facility.
The detailed list of parameters is written in Technical requirements for Operator training simulator GCC-MAC-PM-00000-IN-TSP-00018. 
Composition and principles of preparation of the operational documents for Package Unit as per GOST R 2.601-2019 and GOST R  2.610-2019. </t>
  </si>
  <si>
    <t xml:space="preserve">../.. All documentation should be provided in English and Russian…/.. 
</t>
  </si>
  <si>
    <t>Taxes</t>
  </si>
  <si>
    <t>Single HS code</t>
  </si>
  <si>
    <t>Permitting</t>
  </si>
  <si>
    <t xml:space="preserve">In order to obtain Customer's decision on the classification for import of the supplied equipment under a single HS code, the following data shall be provided: 
• a list of the equipment components to be supplied as they will be shipped;
• technical description of the supplied equipment (what it does, as well as its role in the overall process) with a description and justification of the quantity of each equipment component to be supplied;
• drawings of the supplied equipment (component drawings, general view, 3D models, etc.) on which each piece of equipment to be supplied can be identified.
This information must be submitted no later than eight (8) months before the first shipment of the equipment. </t>
  </si>
  <si>
    <t xml:space="preserve">Supplier shall provide all necessary certificates and permits for the Package Unit in accordance with the requirements of the Russian Federation. </t>
  </si>
  <si>
    <t xml:space="preserve">- RF federal laws, RF presidential decrees, RF gov-ernmental regulations, technical regulations approved Special Technical Specifications (STU), other standards mandatory as per Russian Regulation; 
- Mechanical Data Sheets included in material Requisition; 
- Project Specifications and Philosophies; 
- Optional (voluntary) documents, non-mandatory Russian standards, codes of practice companies’ standards if stated in contractual documents; 
- International standards, regional standards and standards of foreign countries registered in the Federal In-formation Fund for Technical Regulations and Standards of the Russian Federation. </t>
  </si>
  <si>
    <t>P 11/76</t>
  </si>
  <si>
    <t>J'imagine que ce chapitre se retrouve dans bcp de spec</t>
  </si>
  <si>
    <t>../.. Steel construction materials, including stairs, service platforms, railings, walkways, etc., should comply with provisions of GCC-CC7-PM-00000-CI-TSP-00002. 
The flooring of steel flight stairs, steps, platforms walkways should be latticed with a hot-dip galvanized coating. ../..</t>
  </si>
  <si>
    <t>P 13/76</t>
  </si>
  <si>
    <t>Materioal for PVV</t>
  </si>
  <si>
    <t>Minim Instrum Nozzle rating</t>
  </si>
  <si>
    <t>Large Thickness</t>
  </si>
  <si>
    <t xml:space="preserve">Steel plates applied for pressure retaining parts with nominal thickness exceeding 30 mm shall be subjected to 100% UT test for continuity as per GOST 34347-2017 para.4.2.4 according to ASME 
SA578 Level C Supplementary requirement S1. </t>
  </si>
  <si>
    <t>P 14/76</t>
  </si>
  <si>
    <t>Conditions spéciales vent / neige</t>
  </si>
  <si>
    <t>../.. In the equipment designs (general drawings, assembly drawings, data sheets) using stainless corrosion-resistant steels and alloys (austenitic, austenitic-ferritic, ferritic; the definition of steel group shallbe as per GOST 34347 for the ASTM and GOST grades analogues), the requirement for resistance to intergranular corrosion (IGC) of the base metal (or cladding layer) and welded seams with an indication of the test method for MCC according to GOST 6032-2017 / ASTM A262-15 / ISO 3651 / 1.2 should be provided. ../..</t>
  </si>
  <si>
    <t>../.. Vessel supports, such as shells and saddles, and other load bearing elements (internal and external) made of carbon steel or low alloy steel, shall be subjected to an impact test with impact energy of 27 J at -20 ° C or at the minimum design metal temperature (depending on which temperature is lower). For vessels with a design temperature below -39 ° C, supports, as well as other load-bearing elements such as brackets, lifting lugs, column jib cranes, etc., should be made of material with impact strength of not lower than the material impact strength of vessel material. This requirement applies to the area from the point of attachment to the vessel to the point where the metal temperature is above -39 ° C ../..</t>
  </si>
  <si>
    <t>Fond</t>
  </si>
  <si>
    <t>P 16/76</t>
  </si>
  <si>
    <t>../.. The following additional restrictions should apply to carbon steel and manganese steel if they are more stringent than those specified in the material specification: 
- C ≤ 0.23% (For sheet and pipe material); 
- C ≤ 0.25% (For forgings/stampings); 
- Carbon equivalent Ceq ≤ 0.43% Ceq = C + Mn/ 6 + (Cr + Mo + V)/5 + (Ni + Cu)/15. 
../..</t>
  </si>
  <si>
    <t>Not Applicable (sinon voir spec PVV)</t>
  </si>
  <si>
    <t>P 17/76</t>
  </si>
  <si>
    <t>Surfacing and restoration welds of the cladding
should meet the following requirements: 
Voir le chapitre de la spec pour plus de détails…</t>
  </si>
  <si>
    <t>P 18/76</t>
  </si>
  <si>
    <t xml:space="preserve">The upper part of the cylindrical support welded to a column-type apparatus or a vertical apparatus should be made of the same material as the body at a distance of at least: 
- 900 mm for devices with an operating temperature of 340 ° C and above; 
- 500 mm for others. </t>
  </si>
  <si>
    <t>P 20/76</t>
  </si>
  <si>
    <t xml:space="preserve">Wind load for geographic region II should be 0.3 kPa in accordance with SP 20.13330.2011 (updated version of SNiP 2.01.07-85 *). 
Wind loads should be calculated in accordance with GOST 34283-2017. </t>
  </si>
  <si>
    <t>Seismic loads are not applicable</t>
  </si>
  <si>
    <t>P 22/76</t>
  </si>
  <si>
    <t>general and particular see dedicated spec</t>
  </si>
  <si>
    <t xml:space="preserve">Operation Manual Requirements for Pressure Vessels </t>
  </si>
  <si>
    <t>Chap. 6.4</t>
  </si>
  <si>
    <t>Classification of PVV</t>
  </si>
  <si>
    <t>Chap. 6.4.1</t>
  </si>
  <si>
    <t>../.. MDMT is -39°C unless otherwise specified in Project Process Data Sheet and/or Mechanical Data Sheet or Technical Specification. It shall correspond to the Minimum Allowable Negative Wall Temperature (TR CU 032/2013). ../..</t>
  </si>
  <si>
    <t>Chap. 6.5.2</t>
  </si>
  <si>
    <t>P 24/76</t>
  </si>
  <si>
    <t>Cyclic service</t>
  </si>
  <si>
    <t>Chap. 6.6</t>
  </si>
  <si>
    <t>P 25/76</t>
  </si>
  <si>
    <t>wording complexe pour dire que CS : mini = 2, SS mini = 1</t>
  </si>
  <si>
    <t>Chap. 6.7</t>
  </si>
  <si>
    <t>The design allowance for corrosion and / or erosion of the vessel components is selected taking into account the characteristics (composition) of operation medium and design parameters to ensure the design service life. Corrosion allowances in excess of the minimum requirements may be indicated on the vessel data sheet. 
Corrosion allowances should correspond to those indicated in the data sheet. Specified corrosion allowances should apply to all pressurized components and as defined below. In this case, the increase in corrosion for carbon and low-alloy steels should not be less than 2 mm and less than 1 mm for austenitic stainless steels and special alloys. ../..</t>
  </si>
  <si>
    <t>Internals</t>
  </si>
  <si>
    <t>Calculations</t>
  </si>
  <si>
    <t>Chap. 6.9</t>
  </si>
  <si>
    <t>P 30/76</t>
  </si>
  <si>
    <t>6.10.3. Requirements to design of air coolers</t>
  </si>
  <si>
    <t>Chap. 6.10.3</t>
  </si>
  <si>
    <t>P 43/76</t>
  </si>
  <si>
    <t>Voir la spec (pas de Air cooler)</t>
  </si>
  <si>
    <t>Chap. 6.10.2</t>
  </si>
  <si>
    <t>P 39/76</t>
  </si>
  <si>
    <t>Chap. 6.10.1</t>
  </si>
  <si>
    <t>P 31/76</t>
  </si>
  <si>
    <t>Vessel Support</t>
  </si>
  <si>
    <t>Maximum deflection</t>
  </si>
  <si>
    <t>P 32/76</t>
  </si>
  <si>
    <t>P 33/76</t>
  </si>
  <si>
    <t>P 34/76</t>
  </si>
  <si>
    <r>
      <t xml:space="preserve">The conical sections of the vessel should be made of flanges in the following cases: </t>
    </r>
    <r>
      <rPr>
        <sz val="12"/>
        <color rgb="FFFF0000"/>
        <rFont val="Calibri"/>
        <family val="2"/>
        <scheme val="minor"/>
      </rPr>
      <t>Voir la spec</t>
    </r>
    <r>
      <rPr>
        <sz val="11"/>
        <color theme="1"/>
        <rFont val="Calibri"/>
        <family val="2"/>
        <scheme val="minor"/>
      </rPr>
      <t xml:space="preserve">…
Unless otherwise specified in the data sheet, at least the following openings for inspection and access should be provided: </t>
    </r>
    <r>
      <rPr>
        <sz val="11"/>
        <color rgb="FFFF0000"/>
        <rFont val="Calibri"/>
        <family val="2"/>
        <scheme val="minor"/>
      </rPr>
      <t>Voir la spec</t>
    </r>
    <r>
      <rPr>
        <sz val="11"/>
        <color theme="1"/>
        <rFont val="Calibri"/>
        <family val="2"/>
        <scheme val="minor"/>
      </rPr>
      <t xml:space="preserve">… </t>
    </r>
  </si>
  <si>
    <t>P 36/76</t>
  </si>
  <si>
    <t xml:space="preserve">../.. If flanges made of different materials are joined, the bolt and nut material should be of the same type as the higher alloyed flanges. ../..
Nuts and studs shall be made of different grades of steel. If made of the same steel grade, they shall be different in hardness, such difference being not less than 15 HB, with nuts having lower hardness 
Fasteners shall have coating sufficient to the specified design conditions. The type of coating shall be clearly defined in the Detailed Engineering Phase data sheets and technical specifications. ../..
Threads of bolting for standard ASME/ANSI and special flanges shall be in accordance with ASME B1.13M, tolerance class 6H/6g. All sizes shall have standard course pitch. Stud bolts to be provided with two (2) heavy hexagonal nuts. </t>
  </si>
  <si>
    <t>Chap. 5
&amp; 6.10.1</t>
  </si>
  <si>
    <t>P 15/76
&amp; 18
&amp; 39</t>
  </si>
  <si>
    <t>P 38/76</t>
  </si>
  <si>
    <t>../.. Flange connections should be made of the following components:  Voir la spec… Requirements to flanges of external connections or other pressure flanges:  Voir la spec…
All flanges should be butt weld. It is allowed to use slip-on flanges and socket welded flanges. The nozzles intended for butt welding directly on Site should be beveled for welding, and the bevel details should be shown on the VENDOR's drawings. The nozzles should be of the set-in type (joint between the nozzle and shell) and should be attached to the vessel with a full penetration weld. This requirement also applies to the welded seams of the reinforcement rings at the junction of the nozzle with shell.  ../..</t>
  </si>
  <si>
    <t>../.. The holes can be reinforced either with reinforcement rings, as required by the norm, or have an integral forged structure. The thickness of the reinforcing ring should not exceed the thickness of the vessel wall. It is prohibited to use reinforcement rings for hydrogen containing fluids and any other media with temperatures above 400 ° C or below -70 ° C. It is allowed to manufacture reinforcing rings from several parts, but no more than four sections welded across the entire thickness of the ring. Each section of the nozzle reinforcement rings shall be equipped with test holes with M10 threads located at the lowest point of the vessel's working position. For insulated vessels, the test hole shall have a signal tube that is longer than the thickness of the insulation. Reinforcement rings that do not cover pressure welds should be fitted with an M10 drain hole at the lowest point. ../..</t>
  </si>
  <si>
    <t>6.10.2. Design requirements for shell and shell and-tube exchanger Heat exchanger construction shall conform to TEMA (10th Edition), Class R. ../..</t>
  </si>
  <si>
    <t>The VENDOR shall submit flow-induced vibration analysis. Unless otherwise specified hydraulic of heat exchangers pressure drop nozzle sizing and vibration check shall be based on 110% of total flow specified on the data sheet. ../..
S-type floating heads shall be style A (TEMA fig. RCB-5.141). ../..
Tubesheets for Fixed Tubesheet kettle type shells containing 2:1 elliptical heads shall be designed in accordance with ASME Section VIII, Div 1, Part UHX with consideration for the spring constant etc ../..
Connection shell to fixed tubesheet shall be butt welded. Tubesheet shall have an integral hub as shown on ASME VIII Div. 1 FIG. UW-13.3(a)(c). 
For tubesheets with an effective thickness of 30 mm or greater, the OD of the stationary tubesheet etc.. ../..
Heat exchangers with floating head and U-shaped tubes and evaporators with axis asymmetric head shall be equipped with a device facilitating removal, installation and dismantling of tube etc.. ../..</t>
  </si>
  <si>
    <t xml:space="preserve">Design shell side longitudinal baffles for 1.5 times the shell side allowable pressure drop. The deflection in the corroded condition shall be less than ½ the clearance between the longitudinal baffle and the tubes. ../..
</t>
  </si>
  <si>
    <t>The minimum clearance between the impingement plate and the tube is 5 mm. 
It is not allowed to use Slip-on flanges. 
Instrument connections in the nozzles are not allowed. For stacked exchangers in series, provide a TI at the lower intermediate nozzle ../..</t>
  </si>
  <si>
    <t>P 40/76</t>
  </si>
  <si>
    <t>../.. Unless otherwise specified in the data sheet, expansion joints shall be thick wall flanged and flued with bellow-ends, which shall be of the same material as the shell barrel material. It shall of single layer and single convolution (multi-convolution is subject to written approval of Customer) with internal sleeve. ../..</t>
  </si>
  <si>
    <t>Tube to tube sheet connection</t>
  </si>
  <si>
    <t>P 50/76</t>
  </si>
  <si>
    <t>P 53/76</t>
  </si>
  <si>
    <t>PWHT requis par les codes</t>
  </si>
  <si>
    <t>../.. Vessels (assembly units, parts) made of carbon and low-alloy manganese steel, using welding, forming or rolling (shells), are subject to mandatory post weld heat treatment in the following cases:
- voir les 9 cas dans la spec… 
WARNING:  
SA516GR60/70N, SA537CL1N are classified as low-alloy manganese steel by Russian regulation hence, PWHT is mandatory for thicknesses greater than 30mm.  
../..</t>
  </si>
  <si>
    <t xml:space="preserve">Steel nameplate shall be attached to each vessel. The information indicated on nameplate should be in two languages (Russian and English) and contain information in accordance with the requirements of GOST 34347-2017 clause 9.1.3. The date of manufacture should be in the month/year format. 
../.. The nameplate should be made by stamping or engraving to a depth of at least 0.2 mm and should have a protective coating. 
For air coolers, in addition to the pressure equipment plate, a plate for the entire air cooler (complete unit) should also be installed. The requirements to the package nameplate are specified by project specification Technical Requirement to Package Units GCC-CC7-PM-00000-ME-TSP-00006. </t>
  </si>
  <si>
    <t>P 55/76</t>
  </si>
  <si>
    <t xml:space="preserve">All pressure-retaining base metal welds, including nozzles, and welds to pressure-retaining parts shall be fully examined after final heat treatment. 
../..
Inspection and test results shall be recorded and be part of the manufacturing data book. </t>
  </si>
  <si>
    <t>P 56/76</t>
  </si>
  <si>
    <t>../.. Hardness tests are mandatory for: 
- weld metal in butt joints of pressure vessels made of Cr-Mo, Cr-Mo-V and clad steels (from the side of the corrosion-resistant layer; maximum hardness values are specified in Table 14 of GOST 34347-2017); 
- for vessels that contact with corrosive environment (hydrogen, humid hydrogen sulfide environment, alkalis, amines, etc. (as indicated in the equipment data sheet) and for vessels that require post-weld heat treatment (the test is carried out after the heat treatment on the side that contacts with process environment). ../..</t>
  </si>
  <si>
    <t xml:space="preserve">The impact test of base materials (carbon or stainless steel) and welded joints shall be performed at temperature below the MDMT (Minimum Wall Temperature). The impact test shall be carried out in accordance with VENDOR’S selected design code and should exceed a minimum requirement values of TR CU 032/2013. </t>
  </si>
  <si>
    <t>P 57/76</t>
  </si>
  <si>
    <r>
      <t>../.. All accessible welds shall u</t>
    </r>
    <r>
      <rPr>
        <sz val="12"/>
        <color rgb="FFFF0000"/>
        <rFont val="Calibri"/>
        <family val="2"/>
        <scheme val="minor"/>
      </rPr>
      <t>ndergo visual and diemensional inspection</t>
    </r>
    <r>
      <rPr>
        <sz val="11"/>
        <color theme="1"/>
        <rFont val="Calibri"/>
        <family val="2"/>
        <scheme val="minor"/>
      </rPr>
      <t xml:space="preserve">. All accessible butt welds shall undergo visual and diemensional inspection from both sides over the whole weld length. 
</t>
    </r>
    <r>
      <rPr>
        <sz val="14"/>
        <color rgb="FFFF0000"/>
        <rFont val="Calibri"/>
        <family val="2"/>
        <scheme val="minor"/>
      </rPr>
      <t>Magnetic particle and liquid penetran</t>
    </r>
    <r>
      <rPr>
        <sz val="11"/>
        <color theme="1"/>
        <rFont val="Calibri"/>
        <family val="2"/>
        <scheme val="minor"/>
      </rPr>
      <t xml:space="preserve">t examination shall also be made in the following locations: 
voir les 5 points (&gt;36mm, back-chipped, weld overlay, weld repairs, unavailable welds for radio ultrason
The </t>
    </r>
    <r>
      <rPr>
        <sz val="12"/>
        <color rgb="FFFF0000"/>
        <rFont val="Calibri"/>
        <family val="2"/>
        <scheme val="minor"/>
      </rPr>
      <t>ultrasonic or radiographic</t>
    </r>
    <r>
      <rPr>
        <sz val="11"/>
        <color theme="1"/>
        <rFont val="Calibri"/>
        <family val="2"/>
        <scheme val="minor"/>
      </rPr>
      <t xml:space="preserve"> tests of butt, corner, and other welded joints of vessels and their elements (heads, shells, nozzles, manholes, flanges, etc.) either made from plate, pipe or forging, shall as follows. Welds subject to 100% radiografic or ultrasonic tests: voir les 9 points...
Spot ultrasonic or radiographic inspection can be applied to welded seams of vessels of groups 3, 4 and 5 in accordance with GOST 34347, while the etc.. /..
For vessels in Cyclic Service, all attachments welds shall have MT or PT examination as per Appendix 6 and 8 of ASME Section VIII, Division 1. ETC../..</t>
    </r>
  </si>
  <si>
    <t>voir PWHT</t>
  </si>
  <si>
    <t>P 59/76</t>
  </si>
  <si>
    <t>P 62/76</t>
  </si>
  <si>
    <t xml:space="preserve">All equipment made of stainless steel or cladded stainless steel or titanium shall be pickled and passivated, unless otherwise specified in the mechanical data sheets. Reinforcing plates shall be sealed as presence of pickling &amp; passivating product is not allowed. 
Equipment surfaces preparation and painting should be carried out in accordance with document GCC-CC7-PM-00000-ME-TSP-00005. </t>
  </si>
  <si>
    <t>P 64/76</t>
  </si>
  <si>
    <t>GCC-CC7-PM-00000-ME-TSP-00002</t>
  </si>
  <si>
    <t xml:space="preserve">Technical Requirements to Rotating Equipment </t>
  </si>
  <si>
    <t>La spec des pompes liste l'ensemble de codes applicables p5/39</t>
  </si>
  <si>
    <t>P 11/39</t>
  </si>
  <si>
    <t>Chap 6.1
&amp; 6.3</t>
  </si>
  <si>
    <t>P 10/39
&amp; 11</t>
  </si>
  <si>
    <t>Chap 6.4</t>
  </si>
  <si>
    <t>P 12/39</t>
  </si>
  <si>
    <t xml:space="preserve">Chapitre complet sur winterization mais cela reste du grand principe ! </t>
  </si>
  <si>
    <t>Chap. 6.5</t>
  </si>
  <si>
    <t>P 14/39</t>
  </si>
  <si>
    <t>P 16/39</t>
  </si>
  <si>
    <t xml:space="preserve">The main standard for special purpose centrifugal compressors manufacturing purposes shall be API 617. 
API 672 may be used for the following Integrally Geared compressors compressing air: Voir la spec ../.. </t>
  </si>
  <si>
    <t>Chap. 7.1</t>
  </si>
  <si>
    <t>P 19/39</t>
  </si>
  <si>
    <t xml:space="preserve">Reciprocating compressors compressing explosive or toxic gases shall be manufactured under API 618. 
Regardless of the applicable standard, reciprocating compressors shall meet the following requirements: Voir la spec ../.. </t>
  </si>
  <si>
    <t>P 24/39</t>
  </si>
  <si>
    <t>P 22/39</t>
  </si>
  <si>
    <r>
      <t xml:space="preserve">../..
- The pump shall be self-ventilated; 
- In case of pumps with a flow rate of more than 300 m3 / h or a suction pressure of more than 2 MPa or more than 2 stages, a between </t>
    </r>
    <r>
      <rPr>
        <sz val="11"/>
        <color rgb="FFFF0000"/>
        <rFont val="Calibri"/>
        <family val="2"/>
        <scheme val="minor"/>
      </rPr>
      <t>bearing design</t>
    </r>
    <r>
      <rPr>
        <sz val="11"/>
        <color theme="1"/>
        <rFont val="Calibri"/>
        <family val="2"/>
        <scheme val="minor"/>
      </rPr>
      <t xml:space="preserve"> shall be used; 
- The casings of all types of horizontal centrifugal pumps shall have support along their central axis; 
- It is </t>
    </r>
    <r>
      <rPr>
        <sz val="11"/>
        <color rgb="FFFF0000"/>
        <rFont val="Calibri"/>
        <family val="2"/>
        <scheme val="minor"/>
      </rPr>
      <t>not allowed to use pumps of type BB4 under API 610</t>
    </r>
    <r>
      <rPr>
        <sz val="11"/>
        <color theme="1"/>
        <rFont val="Calibri"/>
        <family val="2"/>
        <scheme val="minor"/>
      </rPr>
      <t xml:space="preserve"> standard (or according to GOST 32601-2013); 
- For pumping liquids with a temperature of more than 200ºС or a density of less than 700 kg / m3 with between bearing pumps, only pumps with a radially split casing (type BB2, BB5 according to API 610 (or according to GOST 32601-2013)) shall be used; 
- The design of pump sets and the design of couplings shall ensure their disassembly (in whole or in part) and reassembly, including replacement of electric motors or end seals without removing the pump casing from the foundation plate and disconnecting the process pipelines from the pump flanges. Exceptions are only allowed for small pump sets and shall be agreed with the Customer; 
- The impellers shall be keyed to the shaft. Pin connection shall not be used; 
- </t>
    </r>
    <r>
      <rPr>
        <sz val="11"/>
        <color rgb="FFFF0000"/>
        <rFont val="Calibri"/>
        <family val="2"/>
        <scheme val="minor"/>
      </rPr>
      <t>Impellers shall be solid casted or forged</t>
    </r>
    <r>
      <rPr>
        <sz val="11"/>
        <color theme="1"/>
        <rFont val="Calibri"/>
        <family val="2"/>
        <scheme val="minor"/>
      </rPr>
      <t xml:space="preserve">; 
- The </t>
    </r>
    <r>
      <rPr>
        <sz val="11"/>
        <color rgb="FFFF0000"/>
        <rFont val="Calibri"/>
        <family val="2"/>
        <scheme val="minor"/>
      </rPr>
      <t>impellers shall preferably have closed design</t>
    </r>
    <r>
      <rPr>
        <sz val="11"/>
        <color theme="1"/>
        <rFont val="Calibri"/>
        <family val="2"/>
        <scheme val="minor"/>
      </rPr>
      <t xml:space="preserve">. The use of semi-open or open types of impellers shall be justified by the vendor of the pump set and agreed with the Customer. </t>
    </r>
  </si>
  <si>
    <t xml:space="preserve">../.. The cavitation testing shall be performed if NPSH margin is less than 1,0 m. </t>
  </si>
  <si>
    <t>P 28/39</t>
  </si>
  <si>
    <t>Centrifugal compressors</t>
  </si>
  <si>
    <t>Reciprocating compressors</t>
  </si>
  <si>
    <t>Centrifugal pumps</t>
  </si>
  <si>
    <t>centrifugal pums (suite)</t>
  </si>
  <si>
    <t>Positive displacement pumps</t>
  </si>
  <si>
    <t xml:space="preserve">Positive displacement rotary pumps shall meet the requirements of API 676. 
Piston pumps shall meet the requirements of API 674. 
Dosing pumps (of piston and diaphragm types) shall meet the requirements of API 675. 
Unless otherwise specified in the data sheets grease lubricated antifriction bearings shall not be used. 
In case the membrane-type pump units, the Vendor shall provide the membrane failure detection system. 
Unless otherwise specified, the required capacity adjustment factor shall be 10:1. 
The Vendor scope of supply shall include an external pressure safety valve (PSV). Use of an integral pressure safety valve instead of an external one is not allowed. 
The safety valve shall be set to 10 % above the maximum operating pressure of the pump. 
The Vendor scope of supply shall include a suction strainer, pulsation damper. </t>
  </si>
  <si>
    <t>Chap. 7.4</t>
  </si>
  <si>
    <t>Autres type de machines</t>
  </si>
  <si>
    <t>voir chap 8</t>
  </si>
  <si>
    <t xml:space="preserve">COMMON COMPONENTS AND 
AUXILIARY SYSTEMS </t>
  </si>
  <si>
    <t>PRESSURE LUBRICATING OIL SYSTEMS</t>
  </si>
  <si>
    <t>COOLING SYSTEMS</t>
  </si>
  <si>
    <t>BASEPLATES AND SUPPORTS</t>
  </si>
  <si>
    <t>Lubrication and sealing oil grades shall be indicated by the VENDOR according to manufacturer’s standards, and the type of oil shall be selected from the brands available in Russia. 
For equipment manufactured according to API standards, the oil systems shall comply with API 614. 
Regardless of the applicable standard, oil systems shall meet the following requirements: 
- water cooling ... voir la spec
- control valves etc... voir la spec
Coolers (2).. voir la spec
Heat exch... voir la spec
Dble pipe exch.. not preffereed.. voir la spec !</t>
  </si>
  <si>
    <t>P 34/39</t>
  </si>
  <si>
    <t>P 35/39</t>
  </si>
  <si>
    <t>Chap. 9.3</t>
  </si>
  <si>
    <t>voir la spec</t>
  </si>
  <si>
    <t xml:space="preserve">DRIVING EQUIPMENT </t>
  </si>
  <si>
    <t>P 29/39</t>
  </si>
  <si>
    <t>P 26/39</t>
  </si>
  <si>
    <t>P 25/39</t>
  </si>
  <si>
    <t>_AA_2</t>
  </si>
  <si>
    <t>Zone 2 IIB T3 ???</t>
  </si>
  <si>
    <t>ATTACHMENT 6. Scope of Work_LAO</t>
  </si>
  <si>
    <t>P 5/142</t>
  </si>
  <si>
    <r>
      <t xml:space="preserve">Currently, a project is being implemented in the Leningrad Oblast of the Russian Federation. It includes the following: 
 Gas Processing Complex (GPC) including Gas Processing Plant (GPP) and Liquefied Natural Gas Plant (LNG Plant); 
 Gas Chemical Complex (GCC); 
 Infrastructure facilities. 
Baltic Chemical Plant, LLC </t>
    </r>
    <r>
      <rPr>
        <b/>
        <sz val="10"/>
        <color theme="1"/>
        <rFont val="Calibri"/>
        <family val="2"/>
        <scheme val="minor"/>
      </rPr>
      <t>(CUSTOMER)</t>
    </r>
    <r>
      <rPr>
        <sz val="10"/>
        <color theme="1"/>
        <rFont val="Calibri"/>
        <family val="2"/>
        <scheme val="minor"/>
      </rPr>
      <t xml:space="preserve"> performs the scope of work on the design and construction of the Gas Chemical Complex (GCC). GCC is subdivided into 4 projects: 
 </t>
    </r>
    <r>
      <rPr>
        <b/>
        <sz val="10"/>
        <color theme="1"/>
        <rFont val="Calibri"/>
        <family val="2"/>
        <scheme val="minor"/>
      </rPr>
      <t>Project</t>
    </r>
    <r>
      <rPr>
        <sz val="10"/>
        <color theme="1"/>
        <rFont val="Calibri"/>
        <family val="2"/>
        <scheme val="minor"/>
      </rPr>
      <t xml:space="preserve"> 1: Two phases of construction of ethane and propane cracking units; 
 </t>
    </r>
    <r>
      <rPr>
        <b/>
        <sz val="10"/>
        <color theme="1"/>
        <rFont val="Calibri"/>
        <family val="2"/>
        <scheme val="minor"/>
      </rPr>
      <t>Project</t>
    </r>
    <r>
      <rPr>
        <sz val="10"/>
        <color theme="1"/>
        <rFont val="Calibri"/>
        <family val="2"/>
        <scheme val="minor"/>
      </rPr>
      <t xml:space="preserve"> 2.1: Two phases of construction of units for polymerization of ethylene into polyethylene; 
 </t>
    </r>
    <r>
      <rPr>
        <b/>
        <sz val="10"/>
        <color theme="1"/>
        <rFont val="Calibri"/>
        <family val="2"/>
        <scheme val="minor"/>
      </rPr>
      <t>Project</t>
    </r>
    <r>
      <rPr>
        <sz val="10"/>
        <color theme="1"/>
        <rFont val="Calibri"/>
        <family val="2"/>
        <scheme val="minor"/>
      </rPr>
      <t xml:space="preserve"> 2.2: Two phases of construction of units for linear alpha-olefin production; 
 </t>
    </r>
    <r>
      <rPr>
        <b/>
        <sz val="10"/>
        <color theme="1"/>
        <rFont val="Calibri"/>
        <family val="2"/>
        <scheme val="minor"/>
      </rPr>
      <t>Project</t>
    </r>
    <r>
      <rPr>
        <sz val="10"/>
        <color theme="1"/>
        <rFont val="Calibri"/>
        <family val="2"/>
        <scheme val="minor"/>
      </rPr>
      <t xml:space="preserve"> 3: Construction of Utilities, Infrastructure Offsite Facilities (UI&amp;O facilities); 
 </t>
    </r>
    <r>
      <rPr>
        <b/>
        <sz val="10"/>
        <color theme="1"/>
        <rFont val="Calibri"/>
        <family val="2"/>
        <scheme val="minor"/>
      </rPr>
      <t>Project</t>
    </r>
    <r>
      <rPr>
        <sz val="10"/>
        <color theme="1"/>
        <rFont val="Calibri"/>
        <family val="2"/>
        <scheme val="minor"/>
      </rPr>
      <t xml:space="preserve"> 4: Construction of external infrastructure. 
</t>
    </r>
    <r>
      <rPr>
        <b/>
        <sz val="10"/>
        <color rgb="FFFF0000"/>
        <rFont val="Calibri"/>
        <family val="2"/>
        <scheme val="minor"/>
      </rPr>
      <t xml:space="preserve">Project 2.2 (Two phases of construction of units for linear alpha-olefin production) is hereinafter referred to as the PROJECT, </t>
    </r>
    <r>
      <rPr>
        <sz val="10"/>
        <color theme="1"/>
        <rFont val="Calibri"/>
        <family val="2"/>
        <scheme val="minor"/>
      </rPr>
      <t xml:space="preserve">and the result of the 
PROJECT WORK is referred to as the </t>
    </r>
    <r>
      <rPr>
        <b/>
        <sz val="10"/>
        <color rgb="FFFF0000"/>
        <rFont val="Calibri"/>
        <family val="2"/>
        <scheme val="minor"/>
      </rPr>
      <t>FACILITY</t>
    </r>
    <r>
      <rPr>
        <sz val="10"/>
        <color theme="1"/>
        <rFont val="Calibri"/>
        <family val="2"/>
        <scheme val="minor"/>
      </rPr>
      <t xml:space="preserve"> in accordance with the definition provided in the CONTRACT. Projects 1, 2.1, 2.3, 3 and 4 will be made by OTHER SUBCONTRACTORS under separate contracts. 
THE FACILITY consists of two units for linear alpha-olefin production, which will be built in two Phases: 
 </t>
    </r>
    <r>
      <rPr>
        <b/>
        <sz val="10"/>
        <color rgb="FFFF0000"/>
        <rFont val="Calibri"/>
        <family val="2"/>
        <scheme val="minor"/>
      </rPr>
      <t xml:space="preserve">Phase 1: Construction of the units for linear alpha-olefin production: first unit for Butene-1 and unit for Hexene-1; 
 Phase 2: Construction of the unit for linear alpha-olefin production - second unit for Butene-1. </t>
    </r>
    <r>
      <rPr>
        <sz val="10"/>
        <color theme="1"/>
        <rFont val="Calibri"/>
        <family val="2"/>
        <scheme val="minor"/>
      </rPr>
      <t xml:space="preserve">
The capacity of LAO units in accordance with GUARANTEED INDICATORS: 
 2 units of production of Butene-1, with a capacity of each unit 60 thousand tons per year of product Butene-1; 
 1 unit of production of Hexene-1, with a capacity of 50 thousand tons per year of product Hexene-1; 
 ../..  Phase 1: 4th quarter of 2023;  Phase 2: 4th quarter of 2024.</t>
    </r>
  </si>
  <si>
    <t>P 6/142</t>
  </si>
  <si>
    <t>Battery limits</t>
  </si>
  <si>
    <t>Chap. 1.5</t>
  </si>
  <si>
    <t>P 7/142</t>
  </si>
  <si>
    <t>Detail design</t>
  </si>
  <si>
    <t>Chap. 1.6.1</t>
  </si>
  <si>
    <t>P 8/142</t>
  </si>
  <si>
    <t>P 10/142</t>
  </si>
  <si>
    <t xml:space="preserve">The SUBCONTRACTOR ensures the purchase, delivery and customs clearance of equipment and materials to the CONSTRUCTION SITE in accordance with the scope of work of the SUBCONTRACTOR and the Purchasing Division Matrix (Annex No. 5). 
The CONTRACTOR concludes contracts with the LLE suppliers. CONTRACTOR shall not novate these contracts to the SUBCONTRACTOR. The scope of work of the SUBCONTRACTOR and their area of responsibility under these contracts includes obtaining a package of engineering documentation from the LLE SUPPLIER for the development of DETAIL DESIGN DOCUMENTATION ensuring and testing at the production site of the SUPPLIER. Delivery and customs clearance of LLE are not included in the scope of work of the SUBCONTRACTOR.  
1.6.3. Large-unit assembly 
Large-unit assembly of the FACILITY is performed at the YARD OF THE SUBCONTRACTOR or SUBSUBCONTRACTOR. The Large-unit assembly results is PACKAGES. The SUBCONTRACTOR shall carry out the maximum possible amount of work on the assembly, pre-commissioning of PACKAGES at the YARD including laying cables and checking the control loops of the process control system to minimize work on the CONSTRUCTION SITE. Large-unit assembly strategy and schedule shall be based on the philosophy of bringing PACKAGES to maximum mechanical completion with further installation and connection at the CONSTRUCTION SITE. The production schedule of PACKAGES is a key aspect of the PROJECT execution; therefore, the SUBCONTRACTOR shall ensure the timely manufacture, delivery, and installation of PACKAGES at the CONSTRUCTION SITE strictly in accordance with the sequence of installation of PACKAGES at the CONSTRUCTION SITE. 
SUBCONTRACTOR will perform the supervision during PACKAGES installation on the CONTRACTOR’s CONSTRUCTION SITE including Pre-commissioning up to the MECHANICAL COMPLETION. 
SUBCONTRACTOR will perform the supervision of commissioning and other WORKS in accordance with section 9.5. </t>
  </si>
  <si>
    <t>Chap. 1.6.2</t>
  </si>
  <si>
    <t>Chap. 3.1.4</t>
  </si>
  <si>
    <t>P 14/142</t>
  </si>
  <si>
    <t xml:space="preserve">The SUBCONTRACTOR is responsible for all HSE measures related to the performance of the WORKS. The SUBCONTRACTOR shall provide all necessary resources and personnel to ensure a high level of health and safety. </t>
  </si>
  <si>
    <t>Health and Safety Management Plan</t>
  </si>
  <si>
    <t>Chap. 3.1.5</t>
  </si>
  <si>
    <t>P 16/142</t>
  </si>
  <si>
    <t>Engineering plan</t>
  </si>
  <si>
    <t>The SUBCONTRACTOR is responsible for engineering and design activities related to the performance of the work specified in the CONTRACT. SUBCONTRACTOR provides resources and personnel to prepare, administer, and conduct engineering. ETC ../..</t>
  </si>
  <si>
    <t>Chap. 3.1.6</t>
  </si>
  <si>
    <t>P 19/142</t>
  </si>
  <si>
    <t>Engineering</t>
  </si>
  <si>
    <t>Interface management plan</t>
  </si>
  <si>
    <t>P 20/142</t>
  </si>
  <si>
    <t>The SUBCONTRACTOR is responsible for managing the interfaces and actually coordinating the interfaces with OTHER SUBCONTRACTORS and the CONTRACTOR, as well as for the K92+K78 execution of all coordination activities in order to ensure the safety, compatibility and integrity of WORKS throughout all phases of the PROJECT execution, in accordance with the WORK SCHEDULE and the CONTRACT requirements. ETC ../..
The interface parameters and Battery Lim its agreed and accepted at the FEED phase are provided in Annex No. 1. 
SUBCONTRACTOR shall: 
- Develop a detailed interface management plan; 
- Follow the CONTRACTOR requirements and procedures; 
- Prepare and maintain up to date a register of interfaces indicating all points of interaction in areas within its scope of work and agreeing on the data required for the interaction of all interested SUBCONTRACTORS; 
- Officially inform the CONTRACTOR about all problems within the interfaces arising from such meetings to find a solution; 
.../... ETC ../...</t>
  </si>
  <si>
    <t>Chap. 3.1.9</t>
  </si>
  <si>
    <t>P 26/142</t>
  </si>
  <si>
    <t>Chap. 3.1.10.1</t>
  </si>
  <si>
    <t>P 27/142</t>
  </si>
  <si>
    <t>Information management plan</t>
  </si>
  <si>
    <t>Chap. 3.1.10.3</t>
  </si>
  <si>
    <t>P 30/142</t>
  </si>
  <si>
    <t>Chap. 3.1.10.4</t>
  </si>
  <si>
    <t>Data management</t>
  </si>
  <si>
    <t>P 31/142</t>
  </si>
  <si>
    <t>Chap. 3.1.10.5</t>
  </si>
  <si>
    <t>3D modelling</t>
  </si>
  <si>
    <t>P 32/142</t>
  </si>
  <si>
    <t>Chap. 3.1.10.6</t>
  </si>
  <si>
    <t>Information quality system</t>
  </si>
  <si>
    <t>Chap. 3.1.10.7</t>
  </si>
  <si>
    <t>P 33/142</t>
  </si>
  <si>
    <t>Chap. 3.1.10.2
&amp; 3.1.11</t>
  </si>
  <si>
    <t>P 28/142
&amp; 34</t>
  </si>
  <si>
    <t>Chap. 3.1.12</t>
  </si>
  <si>
    <t>P 36/142</t>
  </si>
  <si>
    <t>Change management</t>
  </si>
  <si>
    <t>Project Control</t>
  </si>
  <si>
    <r>
      <t xml:space="preserve">Alloys in hydrogen services or in high pressure services shall mandatory undergo PMI.  Mandatory PMI shall be included as a minimum for the following raw materials: 
- Chromium-Molybdenum alloys (low alloy steel) 
- Modified Chromium-Molybdenum steels (9Cr-1Mo-V alloys). 
- Low Ni steels (2½Ni, 3½Ni and 9Ni). 
- Austenitic Stainless Steels 
- Other Corrosion Resistant Alloys as indicated on project documents (such as requisition documents) 
- Other materials when PMI is specifically specified in project documents (such as requisition  documents). 
</t>
    </r>
    <r>
      <rPr>
        <sz val="11"/>
        <color rgb="FFFF0000"/>
        <rFont val="Calibri"/>
        <family val="2"/>
        <scheme val="minor"/>
      </rPr>
      <t xml:space="preserve">PMI shall be conducted on all the pressure retaining components, including piping items valves, welds, bolting and gaskets unless specifically exempted in the Purchase Order. </t>
    </r>
  </si>
  <si>
    <t xml:space="preserve">10. MARKING AND PREPARATION FOR 
SHIPMENT 
Voir la spec…
template. 
The supplier should provide adequate protection against mechanical damage and atmospheric corrosion during transport and storage prior to outdoor installation at the jobsite for at least six months (this period should be increased for 
equipment with long period of supply and critical equipment). The preparation should be suitable for extended periods of ambient temperatures up to -39 ° C and storage under snow/ice. 
../.. 
In case of overseas shipment the internal surfaces, for high alloy and high alloy lined equipment, shall be protected by Nitrogen purging with welding grade nitrogen (99.9%). 
../..
</t>
  </si>
  <si>
    <t>Workshop inspection release</t>
  </si>
  <si>
    <t>AlphaButol® unit is unit 12300 (PB ref: 08032_12300_00DL_Rev00)</t>
  </si>
  <si>
    <t xml:space="preserve">The SUBCONTRACTOR is responsible for all measures to ensure control over the progress of the WORKS. SUBCONTRACTOR provides all resources and personnel for the development, administration, and control over the execution of the PROJECT. 
The SUBCONTRACTOR prepares detailed procedures for monitoring the execution of the PROJECT considering the minimum requirements included in Annex No. 2, and submits it to the CONTRACTOR for APPROVAL: 
- Planning and Scheduling Procedure; 
- WBS Regulation; 
- Work progress Control Regulation; 
- Calendar of reporting and meetings; 
- Reporting Regulation; 
- Change Management Regulation; 
- Risk Management Regulation; 
- Costs Control Regulation. 
PROJECT management includes, but is not limited to, the following information: ../...
Cost control procedure.../...
Meeting organisation ../..
Risk Management plan ../..
</t>
  </si>
  <si>
    <t>Chap. 3.2.1
&amp; 3.2.2</t>
  </si>
  <si>
    <t>Reporting</t>
  </si>
  <si>
    <t>P 39/142</t>
  </si>
  <si>
    <t xml:space="preserve">Risk management plan </t>
  </si>
  <si>
    <t>Chap. 3.2.4</t>
  </si>
  <si>
    <t xml:space="preserve">To manage the risks, the SUBCONTRACTOR shall prepare and submit for CONTRACTOR APPROVAL: 
- Risk and opportunity management procedure. 
The procedures are developed based on the requirements of the CONTRACT and Annex No. 4. 
While performing the WORKS, the SUBCONTRACTOR shall be guided by the APPROVED procedures for managing risks and opportunities. </t>
  </si>
  <si>
    <t xml:space="preserve">RDI </t>
  </si>
  <si>
    <t>Chap. 4.2.1</t>
  </si>
  <si>
    <t>P 40/142</t>
  </si>
  <si>
    <t>Changes</t>
  </si>
  <si>
    <t>Obligations engineering</t>
  </si>
  <si>
    <t>Ordre de priorité pour le design</t>
  </si>
  <si>
    <t>With an intention of consistency within the Project overall engineering development, the Supplier is requested to strictly comply with numbering procedures for documents, tagging procedures for itemized mechanical and electrical sub-items, instruments and piping, PIDs symbolism and legend sheets. Refer to Procedure for identification of equipment, valves and pipelines, buildings and structures GCC-CC7-PM-00000-PE-PRO-00204. 
All packages or parts of packages located on separate baseframes (e.g. valve skid or panels), shall be tagged with unique package tag numbers for proper data management. ../..</t>
  </si>
  <si>
    <t xml:space="preserve">The Battery Limits of WORKS are specified in Annex No. 1 and are described in more detail in the corresponding section of the INPUT DATA. The specified Battery Limits shall be used as a reference, and the detail design documentation for the Battery Limits shall be Interface Tables and Interface Tasks (or equivalent documents), which shall be developed and regularly updated during the detailed design execution within the scope of work on Interface Management in accordance with the requirements and order provided by Procedure GCC-CC7-PM-00000-PE-PRO-00206. ../..
The Battery Limits of the SUBCONTRACTOR work and interfaces in terms of the automation and communication system execution shall be carried out with the involvement of the MAIN AUTOMATION CONTRACTOR (MAC) in accordance with the scope of work assignment matrix and responsibility assignment matrix in Annex No. 7. </t>
  </si>
  <si>
    <t>P 42/142</t>
  </si>
  <si>
    <t>../.. The List of Deliverables shall contain the following documents including as specified in item 4.2.4.5: 
- List of emissions; 
- List of wastewater flows; 
- List of wastes; 
- Noise analysis. 
Technical solutions should ensure the minimization of emissions into the environment - emissions, discharges, generated waste, etc. and 
correspond to the applicable best available techniques (BAT) adopted in the Russian Federation; emission parameters should comply 
(not exceed) to the technological indicators of the applicable BATs adopted in the Russian Federation. ../...</t>
  </si>
  <si>
    <t>P 43/142</t>
  </si>
  <si>
    <t>Mandatory Requirements</t>
  </si>
  <si>
    <t>P 45/142</t>
  </si>
  <si>
    <t>P 47/142</t>
  </si>
  <si>
    <t>Chap. 4.2.3</t>
  </si>
  <si>
    <t>Chap. 4.2.1 &amp; 4.2.3</t>
  </si>
  <si>
    <t>P 43/142
&amp;51</t>
  </si>
  <si>
    <t>At a minimum, the SUBCONTRACTOR is responsible for issuing the following documentation, but not limited to: 
etc… ../..</t>
  </si>
  <si>
    <t>Chap. 4.2.3.6</t>
  </si>
  <si>
    <t>P 52/142</t>
  </si>
  <si>
    <t>HSE / Health and Safety</t>
  </si>
  <si>
    <t>HSE studies et PP</t>
  </si>
  <si>
    <t>Chap. 4.2.4</t>
  </si>
  <si>
    <t>P 53/142</t>
  </si>
  <si>
    <t>../.. The SUBCONTRACTOR shall provide a design that complies with APPLICABLE LEGISLATIONs, CONTRACTOR’S procedures and incorporates 
industry-leading HSE principles. 
- Safety Equipments ../..
- Dev. of Doc. Fire fighting ../..  HSE plan etc ...
- Dev. Of Doc - Personnel Safety../.. 
- Dev. Of Doc - basic requirements ../..
- environment ../..
- Works Rules ../..
-Fire Safety ../...
ETC…</t>
  </si>
  <si>
    <t>Chap. 4.2.5</t>
  </si>
  <si>
    <t>P 64/142</t>
  </si>
  <si>
    <t>P 65/142</t>
  </si>
  <si>
    <t>Chap. 4.2.5.1</t>
  </si>
  <si>
    <t>ITB</t>
  </si>
  <si>
    <t>Subcontractors and vendors</t>
  </si>
  <si>
    <t>Attachment 2_Instruction to Bidders</t>
  </si>
  <si>
    <t>P 7/12</t>
  </si>
  <si>
    <t>Pricing conditions</t>
  </si>
  <si>
    <t>P 8/12</t>
  </si>
  <si>
    <t>Schedule</t>
  </si>
  <si>
    <t xml:space="preserve">The Key Project Milestones is provided in Attachment 5 and the Bidder is to use this document to further develop its detailed SoW execution schedule and Milestone payment schedule. 
General scheduling requirements are described in Attachment 6 ‘Scope of Work’. 
The Bidder’s proposed schedule for the performance of the Work must be submitted as part of its technical proposal. </t>
  </si>
  <si>
    <t>Exceptions, deviations and assumptions</t>
  </si>
  <si>
    <t xml:space="preserve">../.. the Bidder may present such deviations as an alternative, marked as such and presented with the Bidder’s proposal explaining in full detail 
the nature and extent of the Bidder’s proposed departure and the consequent impact on the prices, schedules or any other aspect of the proposal. Such request shall be submitted as part of the Technical proposal.  
Such deviations must be clearly identified and listed in a separate section of the proposal devoted explicitly for that purpose. Exceptions/deviation may only be made in relation to the items within the ITB Documents, which the Bidder feels unable to comply with. The Bidder shall provide details of 
each exception/deviation in the Bidder’s Exceptions and Deviations Form (F24). The Bidder shall complete and include the Technical Exceptions/Deviations table in the Technical Proposal. Considerations of any alternate proposal will be at the sole discretion of the Contractor
../.. </t>
  </si>
  <si>
    <t>Language</t>
  </si>
  <si>
    <t>Chap. 28</t>
  </si>
  <si>
    <t>P 10/12</t>
  </si>
  <si>
    <t xml:space="preserve">The Bid and all its attachments, information, notes, catalogues, and any other written materials shall be in English and Russian languages unless otherwise instructed by the Contractor. All communications in connection with this Bid shall be in the English and Russian languages. In the event of a dispute as to the terms, the English version shall prevail. 
 </t>
  </si>
  <si>
    <t>All prices and unit rates are to be fixed in Euro. 
Proposal validity-period is requested for a minimum of One hundred eighty (180) days after closing date of this ITB. 
All pricing must be firm and fix for the duration of the proposed Contract period. 
The quoted price(s) must include all costs for materials, labour, equipment, testing, any and all items of expense, fees, taxes, duties, overhead and profit for the Bidder’s full and complete performance of the Work as set forth herein. Prices shall include all taxes with an exemption of the Russian VAT. 
All pricing information requested in this ITB (filled-in Forms as per Attachment 3) must be provided. 
Failure to comply with this request may result in a rejection of any proposal. The Contractor reserves the right to request, and have the Bidder furnish, any accounting breakdown of all Contract prices. This request may be made after the Contract price has been finalized with the Successful Bidder. 
In the case of any discrepancy between words and figures, the words shall prevail</t>
  </si>
  <si>
    <t xml:space="preserve">The Bidder shall submit in his Proposals all necessary information concerning any proposed subcontractors and/or vendors. In all cases, any sub-subcontractor or vendor shall be subject to the prior approval by the Contractor as per the G14 to Appendix 1 to Annex 5_SUB-SUBCONTRACTORS’ APPROVAL PROCEDURE. 
 </t>
  </si>
  <si>
    <t>Governing terms and conditions</t>
  </si>
  <si>
    <t xml:space="preserve">The Bidder’s proposal shall be submitted per the requirements set out in the proposed Draft Contract and the Scope of Work (Attachments 4 and 6). 
Please note that Attachment 6 (Scope of Work) will be combined into a single Exhibit – ‘Scope of Work’ for the final Contract. 
The Commercial Bid and the Technical Bid must be submitted in separate sealed packages and delivered no later than the respective dates and times stipulated in the Invitation Letter. All the Forms (Attachment 3) must be filled and submitted in native form together with sealed packages.  
The Contractor reserves the absolute right not to consider any Bid received after the Bid closing date. </t>
  </si>
  <si>
    <t>Chap. 29</t>
  </si>
  <si>
    <t xml:space="preserve">Technical proposal </t>
  </si>
  <si>
    <t>Chap. 30</t>
  </si>
  <si>
    <t>P 11/12</t>
  </si>
  <si>
    <r>
      <t xml:space="preserve">Bidder’s technical proposal shall meet all requirements and shall contain all documents and information as described in the Scope of Work (Attachment 6) to the Invitation Letter including but not limited to the following: 
</t>
    </r>
    <r>
      <rPr>
        <sz val="12"/>
        <color rgb="FFFF0000"/>
        <rFont val="Calibri"/>
        <family val="2"/>
        <scheme val="minor"/>
      </rPr>
      <t>1. Covering Letter - Executive Summary.</t>
    </r>
    <r>
      <rPr>
        <sz val="11"/>
        <color theme="1"/>
        <rFont val="Calibri"/>
        <family val="2"/>
        <scheme val="minor"/>
      </rPr>
      <t xml:space="preserve"> The Bidder shall provide an Executive Summary giving the key points of its overall Project Execution Strategy covering the entire scope of Work, including the Work proposed to be subcontracted (and all execution locations). The Bidder shall also highlight what it sees as the key success factors and how it will address and monitor such factors. 
</t>
    </r>
    <r>
      <rPr>
        <sz val="12"/>
        <color rgb="FFFF0000"/>
        <rFont val="Calibri"/>
        <family val="2"/>
        <scheme val="minor"/>
      </rPr>
      <t>2. One general section with Detailed Project Execution Plan (PEP</t>
    </r>
    <r>
      <rPr>
        <sz val="11"/>
        <color theme="1"/>
        <rFont val="Calibri"/>
        <family val="2"/>
        <scheme val="minor"/>
      </rPr>
      <t xml:space="preserve">) addressing how the Bidder proposes to complete the entire Scope of Work (Attachment 6) and within the schedule requirements. 
</t>
    </r>
    <r>
      <rPr>
        <sz val="12"/>
        <color rgb="FFFF0000"/>
        <rFont val="Calibri"/>
        <family val="2"/>
        <scheme val="minor"/>
      </rPr>
      <t>3. One technical section per one Cost Package and one Cost Sub-Package</t>
    </r>
    <r>
      <rPr>
        <sz val="11"/>
        <color theme="1"/>
        <rFont val="Calibri"/>
        <family val="2"/>
        <scheme val="minor"/>
      </rPr>
      <t xml:space="preserve"> according to Work breakdown structure specified in Attachment 6 ‘Scope of Work’. Each section shall contain all required Technical documentation as spelt out in the Scope of Work (Attachment 6) and its attachments. As per Article 18 hereabove the Bidder shall list all assumptions, deviations and clarifications and outcomes or proposed alternative technical solutions. The Bidder has 
to take into account that any deviation is subject to the Contractor’s formal approval. 
</t>
    </r>
    <r>
      <rPr>
        <sz val="12"/>
        <color rgb="FFFF0000"/>
        <rFont val="Calibri"/>
        <family val="2"/>
        <scheme val="minor"/>
      </rPr>
      <t>4. One technical section with a list and description of value engineering solutions</t>
    </r>
    <r>
      <rPr>
        <sz val="11"/>
        <color theme="1"/>
        <rFont val="Calibri"/>
        <family val="2"/>
        <scheme val="minor"/>
      </rPr>
      <t xml:space="preserve"> recommended for implementation as per Case 1 to reduce delivery schedule, to improve CAPEX, and to optimize construction activities at Site. 
</t>
    </r>
    <r>
      <rPr>
        <sz val="12"/>
        <color rgb="FFFF0000"/>
        <rFont val="Calibri"/>
        <family val="2"/>
        <scheme val="minor"/>
      </rPr>
      <t xml:space="preserve">5. Bidder’s proposed Project execution schedule </t>
    </r>
    <r>
      <rPr>
        <sz val="11"/>
        <color theme="1"/>
        <rFont val="Calibri"/>
        <family val="2"/>
        <scheme val="minor"/>
      </rPr>
      <t xml:space="preserve">for the performance of the Work. 
</t>
    </r>
    <r>
      <rPr>
        <sz val="12"/>
        <color rgb="FFFF0000"/>
        <rFont val="Calibri"/>
        <family val="2"/>
        <scheme val="minor"/>
      </rPr>
      <t>6. List of the anticipated subcontractors</t>
    </r>
  </si>
  <si>
    <t xml:space="preserve">Сommercial proposal </t>
  </si>
  <si>
    <t>Chap. 31</t>
  </si>
  <si>
    <r>
      <t xml:space="preserve">The Commercial Proposal shall consist of all the worksheets as per Attachment 3 ‘Forms’, duly completed in addition to other items mentioned below.  
The original Commercial Proposal shall be completed in blue ink on every page and signed by an authorized signatory of the Bidder.  The Bidder shall note that the Contractor is obligated to minimize its exposure to the non-recovery of the Value Added Tax (VAT) and any other taxes. By submitting the Commercial Proposal, the Bidder represents that it’s given full effect to the Contractor’s objective to minimize its exposure to non-recovery of VAT.  
Every Option, as requested in Scope of Work, shall be figured out and priced separately. The Bidder shall submit its latest Financial status at the time of the proposal submission. The Bidder shall provide his balance sheet for the last two years, indicating turnover and operating profit/loss. 
The Bidder is required to submit its Bid prices and rates in Euros.  
The Commercial Proposal shall be organized in the following Sections:  
</t>
    </r>
    <r>
      <rPr>
        <sz val="12"/>
        <color rgb="FFFF0000"/>
        <rFont val="Calibri"/>
        <family val="2"/>
        <scheme val="minor"/>
      </rPr>
      <t xml:space="preserve">1. The Cover Letter </t>
    </r>
    <r>
      <rPr>
        <sz val="11"/>
        <color theme="1"/>
        <rFont val="Calibri"/>
        <family val="2"/>
        <scheme val="minor"/>
      </rPr>
      <t xml:space="preserve">- Executive Summary with Lump Sum Price.
</t>
    </r>
    <r>
      <rPr>
        <sz val="12"/>
        <color rgb="FFFF0000"/>
        <rFont val="Calibri"/>
        <family val="2"/>
        <scheme val="minor"/>
      </rPr>
      <t>2. All filled-in Pricing Forms according to Attachment 3</t>
    </r>
    <r>
      <rPr>
        <sz val="11"/>
        <color theme="1"/>
        <rFont val="Calibri"/>
        <family val="2"/>
        <scheme val="minor"/>
      </rPr>
      <t xml:space="preserve">. Some Forms include guidelines for the correct filling-in. 
</t>
    </r>
    <r>
      <rPr>
        <sz val="12"/>
        <color rgb="FFFF0000"/>
        <rFont val="Calibri"/>
        <family val="2"/>
        <scheme val="minor"/>
      </rPr>
      <t>3. The Bill of Quantities</t>
    </r>
    <r>
      <rPr>
        <sz val="11"/>
        <color theme="1"/>
        <rFont val="Calibri"/>
        <family val="2"/>
        <scheme val="minor"/>
      </rPr>
      <t xml:space="preserve"> in line with requirements of Scope of Work (Attachment 6) and Article 2 of this Instruction. Form of Bill of Quantities please ref to Attachment 3.  
Note: The Bidder shall take legal responsibility for the Bill of Quantities (BoQ) prepared and submitted within Commercial proposal as per the terms and conditions of the Contract meaning to reimburse the Contractor the actual cost of all underestimated bulk materials during the Contract execution. </t>
    </r>
  </si>
  <si>
    <t>Contrôle room</t>
  </si>
  <si>
    <r>
      <t>4.2.5. Buildings and structures 
4.2.5.1 General requirements (where applicable)
../..</t>
    </r>
    <r>
      <rPr>
        <sz val="11"/>
        <color theme="1"/>
        <rFont val="Calibri"/>
        <family val="2"/>
        <scheme val="minor"/>
      </rPr>
      <t xml:space="preserve">
4.2.5.2 Buildings and control rooms (where applicable) 
(refer to paragraph 4.2.11 "Automation and communication systems")
The buildings of management include the buildings of control rooms, control rooms of the facility, in which the controller, server equipment, workstations of the Automation Systems are 
located, as well as equipment of engineering systems to ensure the conditions for the operation of Automation Systems. In general, architectural solutions for control buildings shall provide for the following separate control rooms: control room, UPS room, cable entry room with sealed penetrations, spare parts warehouse, HVAC room, gas fire extinguishing room, system engineers office.  ../..
 Heating, ventilation, and air conditioning systems; 
 Fire alarm systems; 
 Fire extinguishing systems; 
 Technical Security Equipment Set; 
 Lighting; 
 Power supply (power distribution boards, uninterruptible power supplies, storage batteries); 
 Earthing. 
</t>
    </r>
  </si>
  <si>
    <t>Chap. 4.2.6</t>
  </si>
  <si>
    <t>P 69/142</t>
  </si>
  <si>
    <t>Piping class / 3D modelm review</t>
  </si>
  <si>
    <t xml:space="preserve">4.2.6. Piping and fittings
../..  THE SUBCONTRACTOR develops and updates the existing detailed classes of pipelines based on the List of pipelines assignments (media) and 
technical requirements for pipeline materials specified in the FEED; 
../..Location control plans shall be drawn at a scale of 1: 100. 
../.. Development of a 3D model in AVEVA software and detailed design of all lines, in accordance with the GCC-CC7-PM-00000-PE-SPE-00216 procedure; 
 Conducting sessions to review the 3D model at the completion of the design at 30%, 60% and 90% of the degree of readiness with representatives of the CONTRACTOR and the CUSTOMER, with the official registration of the actions; 
../..
 Creation from 3D model and release for construction isometric of all piping systems for lines with a diameter of 1 1/2” (40 mm) and larger. 
The isometry shall contain sufficient parts for fabrication and installation; 
 Isometric drawings of piping lines shall be issued in accordance with GCC-CC7-PM-00000-PE-SPE-00216 procedure; 
../..
</t>
  </si>
  <si>
    <t>Chap. 4.2.7</t>
  </si>
  <si>
    <t>P 74/142</t>
  </si>
  <si>
    <t xml:space="preserve">../.. 
 Carrying out a risk-based inspection (RBI) considering these aspects at the phase of 
detailed design including the proposed actions in the detailed design for the facilities, obtaining the CONTRACTOR’S approval;
../.. </t>
  </si>
  <si>
    <t>risk-based inspection (RBI)</t>
  </si>
  <si>
    <t>P 78/142</t>
  </si>
  <si>
    <t>passive fire protection</t>
  </si>
  <si>
    <t>industry-leading HSE principles</t>
  </si>
  <si>
    <t>../.. The design of passive fire protection shall include, but not be limited to (see also paragraphs 4.3.2 and 4.3.7): 
 Preparation of drawings of the fire protection zone; 
 Project for the production of fire protection works of the passive fire protection system (PFP): 
 Including metal structures, based on drawings of steel structures details, 
 Bill of volume of work, 
 Schedule of fire-retardant works for the facility, 
 Bill of material requirements, 
 The procedure for conducting incoming control and quality control of fire protection works. 
The design and production of work on fire protection of structures shall be carried out by organizations admitted to the execution of these types of activities in the manner prescribed by the current legislation of the Russian Federation../..</t>
  </si>
  <si>
    <t>P 81/142</t>
  </si>
  <si>
    <t>../.. 
 Development of procedures aimed at technical diagnosis ,services and repairing of equipment with repair interval of mechanical installation not less 4 years based on a risk-based approach (RBA, RBI, FMEA/FMECA, RCM) with using specific soft. 
../..</t>
  </si>
  <si>
    <t>P 101/142</t>
  </si>
  <si>
    <t>Field instrumentation devices shall be of the preferred "intelligent" type with power supply from a 2-wire 4-20 mA circuit supporting the HART protocol, version 7, with the function of advanced self-diagnosis. 
For field devices, it is preferable to use an Ex ia explosion protection type for use in an explosive area of Class 2, subgroup COMMODITIES AND MATERIALSC, temperature class T3, unless otherwise required by the project. ../..</t>
  </si>
  <si>
    <t>Chap. 4.2.11.4</t>
  </si>
  <si>
    <t>P 98/142</t>
  </si>
  <si>
    <t>Chap. 4.2.11.5</t>
  </si>
  <si>
    <t>P 102/142</t>
  </si>
  <si>
    <t>../..
The equipment of Automation systems shall be chosen by the following power supply parameters: 
 voltage - 24VDC±10%; 
 voltage - 230VAC ±5%, frequency - 50 Hz ± 0.2 Hz. 
../..
 Solenoid valves that are in priority shall be low 
powered, up to 5 W; 
../..</t>
  </si>
  <si>
    <t>P 99/142 &amp; 102</t>
  </si>
  <si>
    <t>Analytic system</t>
  </si>
  <si>
    <t>Chap. 4.2.11.9</t>
  </si>
  <si>
    <t>P 104/142</t>
  </si>
  <si>
    <t xml:space="preserve">4.2.11.9. Analytical equipment </t>
  </si>
  <si>
    <t>Chap. 4.2.11.11</t>
  </si>
  <si>
    <t>P 106/142</t>
  </si>
  <si>
    <t xml:space="preserve">4.2.11.11. Main cable routes of Automation systems </t>
  </si>
  <si>
    <t>P 107/142</t>
  </si>
  <si>
    <t>Meeting</t>
  </si>
  <si>
    <t>Chap. 4.3.2</t>
  </si>
  <si>
    <t>P 108/142</t>
  </si>
  <si>
    <t>For the purposes of meeting and reporting management, the SUBCONTRACTOR shall prepare and submit for CONTRACTOR APPROVAL: 
- Procedure for managing meetings; 
- Reporting procedure with a reporting calendar. 
The procedures are developed based on the requirements of the CONTRACT and Annex No. 4. 
While performing the WORKS, the SUBCONTRACTOR shall follow the APPROVED procedures for meetings and reporting. 
../..</t>
  </si>
  <si>
    <t>Chap. 3.2.3 &amp; 4.3.4</t>
  </si>
  <si>
    <t>P 39/142 &amp; 109</t>
  </si>
  <si>
    <t xml:space="preserve">4.3.3. Reviewing documentation from OTHER 
SUBCONTRACTORS </t>
  </si>
  <si>
    <t>Chap. 4.3.3</t>
  </si>
  <si>
    <t>P 109/142</t>
  </si>
  <si>
    <t>interfaces avec autres dont le RDI</t>
  </si>
  <si>
    <t>Chap. 4.5</t>
  </si>
  <si>
    <t>As Built</t>
  </si>
  <si>
    <t>P 110/142</t>
  </si>
  <si>
    <t xml:space="preserve">section 2.4. Design supervision </t>
  </si>
  <si>
    <t>Scope of design supervision (Stick Built ??)</t>
  </si>
  <si>
    <t>Scope of field design (Stick Built ??)</t>
  </si>
  <si>
    <t>4.5. WORK PACKAGE section 2.5. Field design and as-built documentation (where applicable) 
The SUBCONTRACTOR shall send a team of qualified engineers in various disciplines to the 
CONSTRUCTION SITE for engineering and technical support of the construction and 
installation. The SUBCONTRACTOR shall appoint the field engineering team head, as well as provide technical support with software for the team and conduct training in the field of IS, OS, and EP. 
../...
 Receive, storage and transfer up-to-date detail design documentation in the AFC revision with a blue stamp "Approved for construction" to the CONSTRUCTION SITE; 
 Immediately submit new revisions of the detail design documentation AFC1, AFC2 with a blue 
stamp "Approved for construction" to the CONSTRUCTION SITE; 
 Make minor changes that do not affect the design integrity and functionality; 
 Manage technical queries (TQ); 
 Send queries for technical deviations (TD) for review and approval by the 
SUBCONTRACTOR's head office engineers with a list of possible alternatives (material 
replacement, etc.); 
 Manage non-conformity reports (NCR); 
 Issue a material shortage and damage report (MSDR); 
 Prepare and issue as-built documentation; 
 Perform all changes in the 3D model, databases, and make changes to the documentation that shall be transferred to the CONTRACTOR as as-built documentation after signing the acceptance certificate. 
../..</t>
  </si>
  <si>
    <t>P 112/142</t>
  </si>
  <si>
    <t>P 111/142</t>
  </si>
  <si>
    <t>../.. The SUBCONTRACTOR is responsible for managing the as-built documentation at the 
CONSTRUCTION SITE, as well as the sites of SUBCONTRACTORS and SUPPLIERS. 
The scope of works includes, but is not limited to the following: 
 Making changes with "red lines" according to the actual work performed under the detail design documentation during the AFC audit with a blue stamp "Approved for construction"; 
 Putting a red stamp on the as-built documentation; 
 Putting a red stamp on the as-built documentation with the status of consideration of 
changes; 
 Maintaining a register of changes with cross-references to the relevant documentation where 
these changes shall be reflected; 
 Reviewing as-built documentation with "red lines" in Assai; 
 Obtaining APPROVAL of the CONTRACTOR for changes subject to such APPROVAL; 
 Creating a package of FINAL DOCUMENTATION consisting of at least detail design documentation in AFC rev. with a blue stamp "Approved for construction" and a red 
stamp "As-built documentation". ../..</t>
  </si>
  <si>
    <t>Chap. 4.6</t>
  </si>
  <si>
    <t>P113/142</t>
  </si>
  <si>
    <t>P 114/142</t>
  </si>
  <si>
    <t>P 116/142</t>
  </si>
  <si>
    <r>
      <t>5. PACKAGE OF WORKS No. 3. PROCUREMENT 
../..
 The SUBCONTRACTOR's PROCUREMENT includes, but is not limited to the following: 
 Development and management of the PROJECT logistics plan; 
  Purchase and delivery to the CONSTRUCTION SITE and/or (at the CONTRACTOR's choice) to 
a specialized warehouse - off-site storage facilities based on DAP (Incoterms 2010) under 
CONTRACT terms for all equipment and materials required for the PROJECT, except LLE; 
 Drawing up a schedule for the supply of equipment and materials with a regular report on 
the progress of deliveries; 
</t>
    </r>
    <r>
      <rPr>
        <sz val="11"/>
        <color rgb="FFFF0000"/>
        <rFont val="Calibri"/>
        <family val="2"/>
        <scheme val="minor"/>
      </rPr>
      <t xml:space="preserve"> Preparation and approval of a list of potential SUPPLIERS of equipment and materials; </t>
    </r>
    <r>
      <rPr>
        <sz val="11"/>
        <color theme="1"/>
        <rFont val="Calibri"/>
        <family val="2"/>
        <scheme val="minor"/>
      </rPr>
      <t xml:space="preserve">
 </t>
    </r>
    <r>
      <rPr>
        <sz val="11"/>
        <color rgb="FFFF0000"/>
        <rFont val="Calibri"/>
        <family val="2"/>
        <scheme val="minor"/>
      </rPr>
      <t xml:space="preserve">Approval of additional SUPPLIERS upon the CONTRACTOR'S submission; </t>
    </r>
    <r>
      <rPr>
        <sz val="11"/>
        <color theme="1"/>
        <rFont val="Calibri"/>
        <family val="2"/>
        <scheme val="minor"/>
      </rPr>
      <t xml:space="preserve">
 Signing confidentiality CONTRACTs with potential SUPPLIERS of equipment and materials; 
  Organization of tender procedures and control of all its phases; 
 Technical and commercial evaluation of offers;  drawing up a shortlist of participants and 
coordinating the chosen SUPPLIERS with the CONTRACTOR under the CONTRACT; 
 Conducting final commercial negotiations with chosen participants and choosing the winner of the tender; 
  Drawing up and signing a delivery CONTRACT with the winner of the tender; 
 Holding a kick-off meeting. Coordinating production and delivery schedules; 
 Approving the quality control plan; 
 Controlling delivery times for equipment, materials, and components; 
 Taking necessary measures to ensure timely delivery of equipment and materials; 
 Coordinating approval of working and design documentation of the equipment, material, and 
LLE Supplier (drawings, calculation, diagrams, etc.); 
 Controlling the SUPPLIER's process and participating in intermediate tests of equipment, 
materials; 
 Issuing inspection reports and eliminating comments; </t>
    </r>
  </si>
  <si>
    <r>
      <t xml:space="preserve"> Checking the set of accompanying technical documentation of equipment, materials (with 
translation into Russian, if required), including installation and operation manuals, technical 
datasheets, certificates, etc.; 
 </t>
    </r>
    <r>
      <rPr>
        <sz val="11"/>
        <color rgb="FFFF0000"/>
        <rFont val="Calibri"/>
        <family val="2"/>
        <scheme val="minor"/>
      </rPr>
      <t xml:space="preserve">issuing a shipment permit and controlling loading and unloading operations; </t>
    </r>
    <r>
      <rPr>
        <sz val="11"/>
        <color theme="1"/>
        <rFont val="Calibri"/>
        <family val="2"/>
        <scheme val="minor"/>
      </rPr>
      <t xml:space="preserve">
 Organizing transportation of equipment and materials to the place of delivery, as well as obtaining all necessary permits, approvals, and licenses under the APPLICABLE LEGISLATION; 
 Insurance of equipment and materials during transportation; 
 Assistance to the CONTRACTOR in the direct import customs declaration, ensuring export 
customs declaration of equipment and materials; 
 </t>
    </r>
    <r>
      <rPr>
        <sz val="11"/>
        <color rgb="FFFF0000"/>
        <rFont val="Calibri"/>
        <family val="2"/>
        <scheme val="minor"/>
      </rPr>
      <t xml:space="preserve">Entrance control at the CONSTRUCTION SITE; </t>
    </r>
    <r>
      <rPr>
        <sz val="11"/>
        <color theme="1"/>
        <rFont val="Calibri"/>
        <family val="2"/>
        <scheme val="minor"/>
      </rPr>
      <t xml:space="preserve">
 </t>
    </r>
    <r>
      <rPr>
        <sz val="11"/>
        <color rgb="FFFF0000"/>
        <rFont val="Calibri"/>
        <family val="2"/>
        <scheme val="minor"/>
      </rPr>
      <t xml:space="preserve">Organizing acceptance at the destination, unloading, storage, metering, and delivery of 
equipment, materials for installation; </t>
    </r>
    <r>
      <rPr>
        <sz val="11"/>
        <color theme="1"/>
        <rFont val="Calibri"/>
        <family val="2"/>
        <scheme val="minor"/>
      </rPr>
      <t xml:space="preserve">
  Other actions required for the proper provision of Procurement management services; 
 PROCUREMENT and provision of spare parts for overhaul, as well as special tools and 
accessories; 
 </t>
    </r>
    <r>
      <rPr>
        <sz val="11"/>
        <color rgb="FFFF0000"/>
        <rFont val="Calibri"/>
        <family val="2"/>
        <scheme val="minor"/>
      </rPr>
      <t xml:space="preserve">PROCUREMENT and provision of SP for COMMISSIONING; </t>
    </r>
    <r>
      <rPr>
        <sz val="11"/>
        <color theme="1"/>
        <rFont val="Calibri"/>
        <family val="2"/>
        <scheme val="minor"/>
      </rPr>
      <t xml:space="preserve">
 Recommendations and </t>
    </r>
    <r>
      <rPr>
        <sz val="11"/>
        <color rgb="FFFF0000"/>
        <rFont val="Calibri"/>
        <family val="2"/>
        <scheme val="minor"/>
      </rPr>
      <t xml:space="preserve">PROCUREMENT of a two-year spare parts stock after approval by the 
CONTRACTOR and CLIENT; </t>
    </r>
    <r>
      <rPr>
        <sz val="11"/>
        <color theme="1"/>
        <rFont val="Calibri"/>
        <family val="2"/>
        <scheme val="minor"/>
      </rPr>
      <t xml:space="preserve">
 </t>
    </r>
    <r>
      <rPr>
        <sz val="11"/>
        <color rgb="FFFF0000"/>
        <rFont val="Calibri"/>
        <family val="2"/>
        <scheme val="minor"/>
      </rPr>
      <t xml:space="preserve">Full responsibility for the coordination of third-party quality inspection organizations for the 
inspection of SUBCONTRACTORS and SUPPLIERS (equipment and material quality inspection, as well as the provision of services) and forwarding; </t>
    </r>
    <r>
      <rPr>
        <sz val="11"/>
        <color theme="1"/>
        <rFont val="Calibri"/>
        <family val="2"/>
        <scheme val="minor"/>
      </rPr>
      <t xml:space="preserve">
 PROCUREMENT of equipment from SUPPLIERS that were audited, and their technology was agreed and approved by the CONTRACTOR under the CONTRACT; 
 Compliance with the CONTRACTOR's criteria and processes for choosing SUPPLIERS, 
including, but not limited to, compliance with local requirements for the approval of custom 
specifications, selection lists, technical evaluation results, and recommendations for signing CONTRACTs. 
 Paying to SUPPLIERS; 
 Obtaining all necessary guarantees from SUPPLIERS; 
 Efficient and effective execution (closing) of purchase orders. </t>
    </r>
  </si>
  <si>
    <t>P 117/142</t>
  </si>
  <si>
    <t>P 118/142</t>
  </si>
  <si>
    <t>Chap. 5.5</t>
  </si>
  <si>
    <t>Logistic</t>
  </si>
  <si>
    <t>P 120/142</t>
  </si>
  <si>
    <t>Chap. 5.6.1</t>
  </si>
  <si>
    <t>P 122/142</t>
  </si>
  <si>
    <t>Customs</t>
  </si>
  <si>
    <t>Chap. 5.8</t>
  </si>
  <si>
    <t>P 123/142</t>
  </si>
  <si>
    <t>LLI LLE</t>
  </si>
  <si>
    <t>Chap. 5.9</t>
  </si>
  <si>
    <r>
      <t>5.9. WORK PACKAGE section 3.8. Coordinating the works with LLE suppliers 
At the time of signing the CONTRACT, OTHER SUBCONTRACTORS shall coordinate the works 
with LLE suppliers. After signing the CONTRACT, the CONTRACTOR will determine the date of 
acceptance and transfer of the work results to coordinate them with LLE suppliers. These results will be submitted by the CONTRACTOR to the SUBCONTRAC</t>
    </r>
    <r>
      <rPr>
        <sz val="11"/>
        <color rgb="FFFF0000"/>
        <rFont val="Calibri"/>
        <family val="2"/>
        <scheme val="minor"/>
      </rPr>
      <t xml:space="preserve">TOR in an amount sufficient to 
continue coordination of the works with LLE suppliers. </t>
    </r>
    <r>
      <rPr>
        <sz val="11"/>
        <color theme="1"/>
        <rFont val="Calibri"/>
        <family val="2"/>
        <scheme val="minor"/>
      </rPr>
      <t xml:space="preserve">
../..</t>
    </r>
  </si>
  <si>
    <t>Chap. 6.1</t>
  </si>
  <si>
    <t>P 125/142</t>
  </si>
  <si>
    <t>P 126/142</t>
  </si>
  <si>
    <t xml:space="preserve">When modularizing (enlarging) equipment positions, the maximum parameters for length, 
width and height shall not exceed: 
 width - 12 meters; 
 height – 12 meters; 
 length – 50 meters; 
 weight – 1000 tons. 
If larger units shall be delivered, additional approval from the CONTRACTOR shall be obtained. </t>
  </si>
  <si>
    <t>1000t</t>
  </si>
  <si>
    <t>Logistics for modules</t>
  </si>
  <si>
    <r>
      <t xml:space="preserve">../..The SUBCONTRACTOR </t>
    </r>
    <r>
      <rPr>
        <sz val="11"/>
        <color rgb="FFFF0000"/>
        <rFont val="Calibri"/>
        <family val="2"/>
        <scheme val="minor"/>
      </rPr>
      <t xml:space="preserve">shall agree with the "Marine Warranty Surveyor" and is responsible for interacting with the latter during the WORKS, if necessary. </t>
    </r>
  </si>
  <si>
    <t>P 127/142</t>
  </si>
  <si>
    <t>Precom engineering</t>
  </si>
  <si>
    <t>Chap. 7.4.1</t>
  </si>
  <si>
    <t>P 128/142</t>
  </si>
  <si>
    <t>preparation of precom com</t>
  </si>
  <si>
    <t>Chap. 7.4.2</t>
  </si>
  <si>
    <t>Execution Precom comm</t>
  </si>
  <si>
    <t>Chap. 7.4.3</t>
  </si>
  <si>
    <t>P 129/142</t>
  </si>
  <si>
    <t xml:space="preserve">During the PC, the SUBCONTRACTOR shall conduct the following tests, and inspections, among other things: 
../..
 Hydro-testing, inspection, and cleaning (including chemical cleaning) of components and 
pipelines under the same procedures the SUBCONTRACTOR shall issue for the CONTRACTOR'S APPROVAL; ../..
 Flange connection management under the Flange connection management procedure the 
SUBCONTRACTOR shall issue for the CONTRACTOR'S APPROVAL; 
../..
 Calibration and certification tests of safety valves under the same procedure the SUBCONTRACTOR shall issue for the CONTRACTOR'S APPROVAL; 
 I&amp;A tests under the I&amp;A test procedure and the procedure for identifying and handling fragile I&amp;A the SUBCONTRACTOR shall issue for the CONTRACTOR'S APPROVAL; 
 Tests of electrical devices under the Procedure for testing electrical devices the 
SUBCONTRACTOR shall issue for the CONTRACTOR'S APPROVAL. 
../..
By the PC results for each subsystem, the SUBCONTRACTOR shall prepare a Certificate of the subsystem's readiness for commissioning and send these certificates to the CONTRACTOR for 
APPROVAL. </t>
  </si>
  <si>
    <t>Chap. 7.5</t>
  </si>
  <si>
    <t>P130/142</t>
  </si>
  <si>
    <t xml:space="preserve">7.5. WORK PACKAGE № 5.5. MODULE’s installation supervision 
The scope of work refers to Annex №11. </t>
  </si>
  <si>
    <t>P 130/142</t>
  </si>
  <si>
    <t>P132/142</t>
  </si>
  <si>
    <t>P 133/142</t>
  </si>
  <si>
    <t>4.1. Codes and Standards 
All National and International Standards, latest editions that are relevant to Scope of Work: 
Voir liste GOST si besoin !
STD pétrol 
ASME / API / TEMA / AWS /  etc...</t>
  </si>
  <si>
    <t>Financial expenses</t>
  </si>
  <si>
    <t>Chap. 9.4</t>
  </si>
  <si>
    <t>P134/142</t>
  </si>
  <si>
    <t xml:space="preserve">9.4.1. Insurance costs 
The SUBCONTRACTOR shall buy and, if necessary, renew all Insurance certificates required under the CONTRACT as specified in the CONTRACT. The SUBCONTRACTOR shall schedule these services on time and organize work with insurance companies. 
9.4.2. Bank expenses 
The SUBCONTRACTOR shall buy and, if necessary, renew all the Bonds required under the 
CONTRACT as specified in the CONTRACT. The SUBCONTRACTOR shall schedule these services 
on time and organize work with banks. </t>
  </si>
  <si>
    <t>Commissionning</t>
  </si>
  <si>
    <t>Chap. 9.5</t>
  </si>
  <si>
    <t>P 134/142</t>
  </si>
  <si>
    <t>A list of definitions and abbreviations is provided in section 11 for ease of use this document. The SUBCONTRACTOR shall also use the terms, definitions and abbreviations provided in the 
«Project specific glossary use procedure» No. GCC-CC7-PM-00000-GE-PRO-00106-02</t>
  </si>
  <si>
    <t>P 5/142
&amp; 135</t>
  </si>
  <si>
    <t>Chap. 1.1 &amp; 11</t>
  </si>
  <si>
    <t xml:space="preserve">MAC (MAIN AUTOMATION CONTRACTOR): General contractor (developer, supplier) for the automation of the Project, selected by the Contractor in agreement with the Customer </t>
  </si>
  <si>
    <t xml:space="preserve">During Factory acceptance test, non-conformity report or/and list of outstanding activities may be identified by inspector reflecting noncompliance or/and uncompleteness of equipments / items versus applicable project specification and Supplier documents. It is up to Supplier responsibility to clear the non-conformity and list of outstanding activities in order to allow inspector to issue the Inspection release certificate. 
Equipment shall not be shipped from workshop before the appointed inspector has issued
Inspection Release Certificate and Release for Shipment has been received from Contractor. </t>
  </si>
  <si>
    <t>The SUBCONTRACTOR shall provide support during the work on the Training program for the CUSTOMER's staff under the project requirements. The training program is issued in 
Russian and English. The scope of WORK on the CUSTOMER'S Staff training program is defined below. 
Within the CONTRACT term, the SUBCONTRACTOR, with the CONTRACTOR and the CUSTOMER, shall develop a comprehensive training and certification program for operation and maintenance staff. Based on this training program, the SUBCONTRACTOR shall, no later than six months from the BEGINNING OF THE WORKS, submit a general plan for training operation and maintenance staff to the CONTRACTOR for review and APPROVAL. This Training plan includes the following:
 Training provided by SUPPLIERS; 
 Training provided by Licensors; 
 Training on the training simulator for operators; 
 Other training from the SUBCONTRACTOR 
required for the FACILITY operation.  ../..</t>
  </si>
  <si>
    <t xml:space="preserve">Site Data / Location / transport / climat
By Air Pulkovo airport, Saint-Petersburg
Sea transportation Port of Ust-Luga </t>
  </si>
  <si>
    <t>Technical requirements to Steel Structures Engineering</t>
  </si>
  <si>
    <t>P 14/ 32</t>
  </si>
  <si>
    <t>Chap 7.1</t>
  </si>
  <si>
    <t>GCC-CC7-PM-00000-CI-TSP-00002_AA_1</t>
  </si>
  <si>
    <t>GCC-CC7-PM-00000-CI-TSP-00005</t>
  </si>
  <si>
    <t>Déviation à faire</t>
  </si>
  <si>
    <t>cooperation with RDI (Russian Design Institute)</t>
  </si>
  <si>
    <t xml:space="preserve">The scope of WORK under the CONTRACT includes the execution of detailed design, cooperation with RDI (Russian Design Institute) and the provision of data for the preparation of DD by RDI for re-passing the audit of the RF State Expert Evaluation Department, the purchase and equipment delivery. 
THE WORK shall be carried out in such a way that the FACILITY complies with the design solutions, is safe, efficient, reliable and easy to use, as described in the relevant sections of the INPUT DATA and GUARANTEED INDICATORS and the PROJECT is completed within the timeframe specified in the SCHEDULE OF WORKS. 
The General layout of the plant is presented in the INPUT DATA. 
The list of facilities and systems of Project 2.2 is provided in the INPUT DATA in the corresponding document Title List (refer to Attachment 1 to Annex 1). At the phase of Detail design documentation development, the Title List may be revised by agreement with the CONTRACTOR in accordance with the requirements and procedure provided for by the “Procedure of Title list management” No. GCC-CC7-PM-00000-PE-PRO-00213. The Title List does not limit the scope of SUBCONTRACTOR work but indicates the hierarchical structure of the Project 2.2. If any facility or system is not listed in the Title List, the SUBCONTRACTOR shall update it in the manner prescribed by the above procedure. 
The scope of work under the CONTRACT regarding the execution of automation and communication systems is specified in Annex No.7 to Scope of Work. 
SUBCONTRACTOR prepares The List of Deliverables and provides it on CONTRACTOR’S APPROVAL, which includes SUBCONTRACTOR’s and SUBSUBCONTRACTOR’s documents register, the list of operational documentation and other documents, which will be in DDD package and FINAL PACKAGE DOCUMENTS. The list of works results will become an Attachment to CONTRACT after CONTRACTOR APPROVAL. </t>
  </si>
  <si>
    <t xml:space="preserve">In accordance with the CONTRACT at the beginning of the PROJECT execution the SUBCONTRACTOR shall officially accept responsibility (ENDORSE) for INPUT DATA: 
FEED, MAC Extended Basic Design, EARLY WORKS results, carry out detailed design (develop Detail Design documentation) based on this documentation and Technical Requirements provided in Annex No. 4. 
All structures shall be designed for safe, uninterrupted and reliable operation during the design life of buildings and structures defined in the approved design documentation, but not less than 20 years for equipment and pipelines; at least 30 years for pipelines of heating networks (steam, steam condensate, hot water), for structures (buildings) at least 50 years, subject to timely repair work in accordance with the requirements of regulatory documents. The process equipment repair operations cycle for at least 4 years (considering the risk-oriented approach, methodology, RBI, RCM, FMEA/FMECA) when carrying out timely maintenance and repair operations (MRO) of process equipment and increasing its service life. </t>
  </si>
  <si>
    <t xml:space="preserve">Large-unit assembly </t>
  </si>
  <si>
    <t>../.. When developing the DDD, the SUBCONTRACTOR shall consider the process of phased commissioning of 2 process lines without stopping the 1st process line when starting the 2nd line within the framework of Phase 2 of the PROJECT. ../..</t>
  </si>
  <si>
    <t>../.. It is Supplier responsibility to follow this general specification during detailed engineering, and to
comply with all Russian regulation rules applicable to the Project. ../..</t>
  </si>
  <si>
    <t>4.3.2. Participating in meetings
The SUBCONTRACTOR shall attend the following key engineering meetings: 
 Kick-off meeting about integrated engineering required also to check the consistency of the overall design concept (technical specifications, technical requirements, applicable norms, and standards, etc.) and the conditions for ensuring IS, OS, and EP; 
 Meeting to analyze the process configuration to achieve the guaranteed performance of the 
FACILITY and the PLANT as a whole; 
 HAZOP, HAZID, SIL; 
 Meeting required to review 30%, 60%, and 90% of the 3D model readiness (if necessary); 
 Meeting on integrated engineering with the RDI; 
 Meeting on the FACILITY constructiveness; 
 Meeting on the FACILITY operating philosophy; 
 Meeting on the coordination of actions during construction, start-up, and preparation for 
COMMISSIONING; 
 Meeting with the SUBCONTRACTOR on the MAC; 
 Meetings with the Licensors; 
 Meetings with the CUSTOMER. 
../..</t>
  </si>
  <si>
    <r>
      <t xml:space="preserve">The SUBCONTRACTOR shall review and comment on the documentation from OTHER
SUBCONTRACTORS according to the approved integrated design plan. The main documents
include principles of various disciplines, procedures, principles of functionality, safety, operability, constructiveness, maintainability, etc. 
The SUBCONTRACTOR </t>
    </r>
    <r>
      <rPr>
        <sz val="12"/>
        <color rgb="FFFF0000"/>
        <rFont val="Calibri"/>
        <family val="2"/>
        <scheme val="minor"/>
      </rPr>
      <t>shall also interact with the RDI a</t>
    </r>
    <r>
      <rPr>
        <sz val="11"/>
        <color theme="1"/>
        <rFont val="Calibri"/>
        <family val="2"/>
        <scheme val="minor"/>
      </rPr>
      <t xml:space="preserve">nd promptly, on request, provide the RDI 
with information it requires to issue design documentation for repeated RF State Expert Evaluation Department (SEE), and DDD. 
The scope of the SUBCONTRACTOR's works includes interaction with the RDI that is responsible 
for issuing a new version of the PD. The SUBCONTRACTOR shall provide all technical documentation, information, design, and explanatory notes, 3D model, etc. that the RDI may request from the SUBCONTRACTOR to issue PD for repeated SEE, as well as provide any explanations, respond to written requests, and participate in relevant meetings. </t>
    </r>
  </si>
  <si>
    <t xml:space="preserve">The translation shall be organized under the CONTRACTOR’S procedure “Translation organization procedure” No. GCC-CC7-PM-00000-GE-PRO-00104. 
The scope of translation includes, but is not limited to the following: 
 Translation of all documents, including the FINAL PACKAGE DOCUMENTS, provided by the 
SUBCONTRACTOR to the CONTRACTOR during the WORKS under the CONTRACT; 
 Translation of all official correspondence (including appendices as required) to be provided to the CONTRACTOR; 
 Maintenance and continuous updating of the PROJECT Glossary, as well as the monthly provision of the Glossary to the CONTRACTOR; 
 Monthly provision of the SUBCONTRACTOR’S internal TMX translation memory from the CAT 
tools used; 
Interpretation during face-to-face and remote reporting meetings, working meetings, and negotiations with the use of special equipment of the SUBCONTRACTOR for interpretation. The SUBCONTRACTOR’S meeting rooms shall have IT equipment allowing to interpret and present bilingual documents. </t>
  </si>
  <si>
    <t>bilingual</t>
  </si>
  <si>
    <t xml:space="preserve">../.. equipment and material certification shall be in accordance with the relevant codes and standards.
 Electrical and mechanical components installed in hazardous area shall be certified for use in hazardous zones and shall be provided by Supplier with a certificate of conformity as requested by the applicable Russian regulations Electrical and mechanical components installed in hazardous area shall be certified for use in hazardous zones and shall be provided by Supplier with a certificate of conformity as requested by the applicable Russian regulations ../.. Suppliers are requested to perform certification to a recognized accredited Certification Body. ../..
</t>
  </si>
  <si>
    <t xml:space="preserve">../.. All mechanical equipment, valves, instruments, electrical equipment and other package components shall be delivered including a Technical Passport of an approved form as defined in the Russian Federation regulations, and Certificates of Conformity. The form of the technical passport must be previously agreed by the Customer. 
Technical Passport for pressure vessels should correspond to the form given in GOST 34347-2017. </t>
  </si>
  <si>
    <t xml:space="preserve">The scope of work of the SUBCONTRACTOR includes the WORK that shall be performed to obtain or assist in obtaining by the CONTRACTOR all certificates and permits for design, purchase, manufacture, delivery, construction, start-up works, commissioning and operation tests of the facility. These WORKS may include, but are not limited to, the preparation of a document package for obtaining construction permits and permits to enter the FACILITY into operation in accordance with APPLICABLE LEGISLATION. The SUBCONTRACTOR shall, within 60 days from the STARTING DATE OF WORK, develop and submit to the CONTRACTOR for APPROVAL a Applicable Code of Practice Assure Compliance 
Plan including obtaining all certificates and permits at all phases of the WORK in full compliance with the APPLICABLE LEGISLATION and Applicable Rules and Regulations, as well as authorities or their affiliated Third Parties with which the SUBCONTRACTOR will need to cooperate in carrying out the WORKS in accordance with the Compliance Plan. ../..
Any independent Verification and Certification performed by the Supervisor does not relieve the SUBCONTRACTOR of ultimate responsibility for ensuring the satisfactory performance of the WORKS. 
All certificates or similar documents shall be included in the FINAL PACKAGE DOCUMENTS. 
The SUBCONTRACTOR bears all costs related to the services of the Supervisory Authorities or their affiliated Third Parties that are necessary to carry out the WORKS. </t>
  </si>
  <si>
    <t>As we will not participate to site construction (only assist) no permitting is expected in AX scope</t>
  </si>
  <si>
    <t xml:space="preserve"> 20 years (no building in AX scope)
The process equipment repair operations cycle for at least 4 years (considering the risk-oriented approach, methodology, RBI, RCM, FMEA/FMECA) when carrying out timely maintenance and repair operations (MRO) of process equipment and increasing its service life. </t>
  </si>
  <si>
    <r>
      <t>4.2.5. Buildings and structures 
4.2.5.1 General requirements (where applicable)
../..
O</t>
    </r>
    <r>
      <rPr>
        <sz val="16"/>
        <color rgb="FFFF0000"/>
        <rFont val="Calibri"/>
        <family val="2"/>
        <scheme val="minor"/>
      </rPr>
      <t>btain all the necessary permits from official bodies</t>
    </r>
    <r>
      <rPr>
        <sz val="11"/>
        <color theme="1"/>
        <rFont val="Calibri"/>
        <family val="2"/>
        <scheme val="minor"/>
      </rPr>
      <t>, such as Federal Environmental, Industrial and Nuclear Supervision Service of Russia (but not limited to this), necessary for the surveys, design and construction of a technological FACILITY, structures, and buildings of general and civil purposes. The SUBCONTRACTOR shall also prepare all drawings and documents required to obtain such approvals. Any changes / codifications, etc. to the design / during construction required to obtain such permits shall also be carried out by the SUBCONTRACTOR without any prejudice to the execution schedule and additional costs to the CONTRACTOR. ../...
4.2.5.2 Buildings and control rooms (where applicable) 
(refer to paragraph 4.2.11 "Automation and communication systems") The buildings of management include the buildings of control rooms, control rooms of the facility, in which the controller, server equipment, workstations of the Automation Systems are located, as well as equipment of engineering systems to ensure the conditions for the operation of Automation Systems. In general, architectural solutions for control buildings shall provide for the following separate control rooms: control room, UPS room, cable entry room with sealed penetrations, spare parts warehouse, HVAC room, gas fire extinguishing room, system engineers office.  ../..
 Heating, ventilation, and air conditioning systems; 
 Fire alarm systems; 
 Fire extinguishing systems; 
 Technical Security Equipment Set; 
 Lighting; 
 Power supply (power distribution boards, uninterruptible power supplies, storage batteries); 
 Earthing. 
4.2.6. Piping and fittings</t>
    </r>
  </si>
  <si>
    <t>ITR is excluded</t>
  </si>
  <si>
    <t>no site constrcution</t>
  </si>
  <si>
    <t>../.. Unless otherwise specified in project technical specifications, all equipment and auxiliary components shall be suitable for outdoor installation at the ambient conditions. 
Supplier shall identify the need for additional protection of the equipment against environment, such as (semi-open) shelters, winterization etc. ../..</t>
  </si>
  <si>
    <t xml:space="preserve">../.. Hydrometeorological Surveys (GCC-TGI-SE00000-EH-REP-00001) ../.. must be verified for approval by the State Environmental Expert Review (SEER). Data must be updated and approved by Client if necessary .
According to GOST 16350-80, the area belongs to temperate macroclimatic area, the climatic area is warm-temperate humid. According to SP 131.13330.2018, the survey area belongs to the climatic subarea IIB. 
</t>
  </si>
  <si>
    <t xml:space="preserve">Voir rose des vents ../..
Normative wind load – wind pressure regulatory value: 0.3 kPa (area II as per SP 20.13330.2016). 
Structural design wind load in accordance with GCC-CC7-PM-00000-CI-TSP-00002.  Mechanical equipment design wind load refers to SP 20.13330.2016. “Loads and Effects”, Section 11 Wind effects. Although, the requirements from GCC-CC7-PM-00000-CI-TSP-00002 shall be considered. 
Mean annual wind velocity: 3.1 m/s </t>
  </si>
  <si>
    <t>Range of temperature to be considered for design: refer to п. 7.3.1.
The winterization of the equipment shall also be considered during the phases of transportation, handling, storage, installation, commissioning and maintenance of the train, and includes considerations of all aspects affected by cold conditions. 
After order, Supplier shall provide a winterization study describing for the complete SUPPLY the special precautions, preservation and winterization means to be adopted.
Enclosure ../..
Heat Tracing ../..</t>
  </si>
  <si>
    <t>20 years</t>
  </si>
  <si>
    <r>
      <t>4.3. WORK PACKAGE section 2.3. The scope of Works on integrated design 
In addition to the SUBCONTRACTOR's scope of work under the CONTRACT, the scope of work on 
the operation design and management of interfaces, the SUBCONTRACTOR shall ensure the integrity of the entire PLANT in terms of ease of operation, increasing the availability factor, making energy-efficient decisions, ensuring interchangeability of components and materials, etc. 
The scope of the SUBCONTRACTOR's work on integrated design includes: 
 Preparation of an integrated design plan; 
 Arrangement the meetings according to the integrated design plan; 
 Reviewing documentation from otherSUBCONTRACTORS; 
 Issuing reports on the results of meetings andreviewing documentation of OTHER SUBCONTRACTORS. 
Documentation shall be exchanged, documentation commented on and integrated design reports issued using the</t>
    </r>
    <r>
      <rPr>
        <sz val="14"/>
        <color rgb="FFFF0000"/>
        <rFont val="Calibri"/>
        <family val="2"/>
        <scheme val="minor"/>
      </rPr>
      <t xml:space="preserve"> CONTRACTOR'S DMS (Assai).</t>
    </r>
    <r>
      <rPr>
        <sz val="11"/>
        <color theme="1"/>
        <rFont val="Calibri"/>
        <family val="2"/>
        <scheme val="minor"/>
      </rPr>
      <t xml:space="preserve"> 
4.3.1. Preparing an integrated design plan Within 2 months from the START DATE, the SUBCONTRACTOR shall issue an Integrated design plan with recommended key engineering 
meetings that OTHER SUBCONTRACTORS shall attend. The plan shall also include a list of 
documents from the Main Documentation Register (MDR) of OTHER SUBCONTRACTORS that will 
be considered by the SUBCONTRACTOR in the scope of integrated design work. 
../..</t>
    </r>
  </si>
  <si>
    <r>
      <t xml:space="preserve">../.. All electrical field instrumentation, instrument equipment and their installation, in both hazardous and non-hazardous areas, shall be certified for use in </t>
    </r>
    <r>
      <rPr>
        <sz val="12"/>
        <color rgb="FFFF0000"/>
        <rFont val="Calibri"/>
        <family val="2"/>
        <scheme val="minor"/>
      </rPr>
      <t xml:space="preserve">Zone 1 Gas Group IIC Temperature T3 as a minimum. </t>
    </r>
    <r>
      <rPr>
        <sz val="11"/>
        <color theme="1"/>
        <rFont val="Calibri"/>
        <family val="2"/>
        <scheme val="minor"/>
      </rPr>
      <t xml:space="preserve">
All electrical instrumentation shall meet the electrical area classification in which they are installed and shall comply with IEC 60079 &amp; IEC 80079 as minimum or the equivalent Russian Standards GOST R IEC 60079 &amp; GOST R EN 13463-1 up to 8. </t>
    </r>
  </si>
  <si>
    <r>
      <t xml:space="preserve">Basis for maximum equivalent noise level at workplaces with a non-permanent presence of workers at a distance of one meter from the source of noise is allowed from </t>
    </r>
    <r>
      <rPr>
        <sz val="12"/>
        <color rgb="FFFF0000"/>
        <rFont val="Calibri"/>
        <family val="2"/>
        <scheme val="minor"/>
      </rPr>
      <t>80dB(A) to 85 dB</t>
    </r>
    <r>
      <rPr>
        <sz val="11"/>
        <color theme="1"/>
        <rFont val="Calibri"/>
        <family val="2"/>
        <scheme val="minor"/>
      </rPr>
      <t xml:space="preserve">A unless otherwise stated in particular specification by the results of a professional risk assessment for the health of workers, as well as a set of measures aimed at minimizing the risks to workers' health is implemented.:. 
At a noise level of more than 80 dBA, the noise source should be equipped with noise enclosure to reduce the noise level to 80 dBA. 
Refer to Package Individual Specification or datasheet for acceptable noise level for acoustic protection measures to be implemented as needed. </t>
    </r>
  </si>
  <si>
    <t>../.. The basic requirements of the Project shall be the following values of the equivalent noise level: 
- 85 dBA - maximum allowable value; 
- 80 dBA - desired value. 
If a part of the supply does not meet the noise limit, all the necessary noise reduction devices to suppress the noise shall be included in VENDOR’s scope. ../..</t>
  </si>
  <si>
    <r>
      <t xml:space="preserve">The SUBCONTRACTOR takes full responsibility for activities aimed at ensuring the quality and technical integrity of the WORKS performed. The SUBCONTRACTOR shall provide all necessary resources and personnel for the development, administration, and execution of quality assurance measures. 
The SUBCONTRACTOR quality management system (QMS) shall be certified in accordance with international ISO standards. The SUBCONTRACTOR prepares a quality assurance plan that meets the requirements of the following procedures: Project Quality Plan No. GCC-CC7-PM-00000-QA-PLN-00312, Quality Management Requirements No. GCC-CC7-PM-00000-QC-MAN-00315 and international standards ISO 9001, 14001, 18001 and 29001, which shall be submitted 
for CONTRACTOR APPROVAL. By CONTRACT with the SUBCONTRACTOR, the CONTRACTOR may arrange QMS audits at the SUBCONTRACTOR workplaces on a regular basis (2 times a year). etc ../..
</t>
    </r>
    <r>
      <rPr>
        <sz val="12"/>
        <color rgb="FFFF0000"/>
        <rFont val="Calibri"/>
        <family val="2"/>
        <scheme val="minor"/>
      </rPr>
      <t>The SUBCONTRACTOR have to use the specialized software for quality control management provided by CONTRACTOR (if applicable).</t>
    </r>
  </si>
  <si>
    <t>SUBCONTRACTOR have to use the specialized software for quality control management provided by CONTRACTOR (if applicable).</t>
  </si>
  <si>
    <t>5.5. WORK PACKAGE section 3.4. inspections and 
../..
 "Project quality assurance plan" No. GCC-CC7-PM-00000-QA-PLN-00312, "Quality management requirements" No. GCC-CC7-PM-00000-QC-MAN-00315. tests 
../..
The SUBCONTRACTOR shall develop and provide the CONTRACTOR with requirements for SUPPLIERS for mandatory certification of equipment and materials under the requirements of the current legislation of the Russian Federation and the Eurasian Economic Space. ../..</t>
  </si>
  <si>
    <r>
      <t xml:space="preserve">The main task of the CONTRACTOR is to ensure that the SUBCONTRACTOR receives the necessary amount of information required by the CONTRACTOR and the CUSTOMER for the effective operation of the PLANT and the management of PROJECT WORKS (see the procedure "Information Management Plan" No. GCC-CC7-PM-00000-IM-PLN-00110). 
The purpose of this section is to define the requirements of the CONTRACTOR for the PROJECT information (documents, engineering data, 3D models and 2D documents). The SUBCONTRACTOR shall develop documents on information and information technology  management according to the following list and send for CONTRACTOR APPROVAL: 
</t>
    </r>
    <r>
      <rPr>
        <sz val="11"/>
        <color rgb="FFFF0000"/>
        <rFont val="Calibri"/>
        <family val="2"/>
        <scheme val="minor"/>
      </rPr>
      <t xml:space="preserve"> Data management procedure; 
 Information Technology (IT) Plan; 
 Information Management Plan (IM); 
 Information quality management system; 
 Procedure for 3D modeling - general requirements; 
 Procedures for 3D modeling by discipline; 
 Procedure for SUPPLIER data management. </t>
    </r>
  </si>
  <si>
    <t>../..
The detailed design performed by the SUBCONTRACTOR shall comply with the requirements of codes, standards, rules, laws and general technical conditions in force in the territory of the Russian Federation, MAC Extended Basic Design, as well as the technical requirements contained in the FEED packages including the design INPUT DATA packages. 
../..</t>
  </si>
  <si>
    <t>../.. When performing the work, the SUBCONTRACTOR shall determine the need to make additions or changes to the DDD, for example, in the event of the entry into force of new requirements of the RD of the Russian Federation, and to apply with a reasonable request to the CONTRACTOR. All requests for deviations shall be processed in accordance with the «Technical Deviations and Technical Clarification management» No. GCC-CC7-PM-00000-PE-PRO-00217. 
../..</t>
  </si>
  <si>
    <r>
      <t>../.. Priorities for design, construction, operation, and maintenance are determined as follows: 
- Federal laws, local regulations, and technical regulations of the Russian Federation; 
- Project-Specific Technical Specifications as well as Safety Case For Hazardous Production Facility; 
- Regulatory documents developed in pursuance of federal laws and technical regulations (GOST, SP, SNiP, FNiP, etc.) and International regulations and standards. In case when Russian Federation regulatory documents have more stringent requirements then Foreign standards (ASME, ASTM, etc), therefore Russian Federation regulatory standards should be applied (when it possible to exactly interpret the 
requirements as less or more stringent); 
- C</t>
    </r>
    <r>
      <rPr>
        <sz val="11"/>
        <color rgb="FFFF0000"/>
        <rFont val="Calibri"/>
        <family val="2"/>
        <scheme val="minor"/>
      </rPr>
      <t>ONTRACT requirements; 
- Process design - Basic Design of the Licensor(s); 
- Technical requirements / conditions of the CONTRACTOR / CUSTOMER; 
- List of comments / changes not considered in the FEED; 
- FEED; 
- MAC  Extended Basic Design; 
- Design standards and specifications of the SUBCONTRACTOR; 
- Industry standards</t>
    </r>
    <r>
      <rPr>
        <sz val="11"/>
        <color theme="1"/>
        <rFont val="Calibri"/>
        <family val="2"/>
        <scheme val="minor"/>
      </rPr>
      <t>. 
In addition, the detailed design carried out by the SUBCONTRACTOR shall fully meet the requirements of the Licensors, equipment SUPPLIERS. ../..</t>
    </r>
  </si>
  <si>
    <r>
      <t xml:space="preserve">../.. A mandatory requirement of the CONTRACTOR is the performance of the following activities by the SUBCONTRACTOR: 
- The SUBCONTRACTOR shall to use engineering </t>
    </r>
    <r>
      <rPr>
        <sz val="12"/>
        <color rgb="FFFF0000"/>
        <rFont val="Calibri"/>
        <family val="2"/>
        <scheme val="minor"/>
      </rPr>
      <t>soft SPEL/SPI</t>
    </r>
    <r>
      <rPr>
        <sz val="11"/>
        <color theme="1"/>
        <rFont val="Calibri"/>
        <family val="2"/>
        <scheme val="minor"/>
      </rPr>
      <t xml:space="preserve"> for DDD development on next disciplines: I&amp;A, Power supply, APCS, HSES, Communications facility; 
- The SUBCONTRACTOR shall plan, control, and coordinate the detailed design; 
- In case of subcontracting of some of the detailed design works, they shall be performed from the engineering center of the SUBSUBCONTRACTOR under the supervision and responsibility of the SUBCONTRACTOR; 
- The SUBCONTRACTOR’S engineering work shall cover all WORKS and include, among other things, the preparation of all necessary documents and drawings, such as process flow diagrams, material balances, questionnaires / request sheets, specifications, requests, instructions, working drawings, reports, analyzes and calculations; 
- THE SUBCONTRACTOR shall develop technical passports for installed systems; 
- For all WORKS, the SUBCONTRACTOR needs to develop Work Method Statement (WMS) and agree on the basic principles and approaches to the execution of the scope of work with the CONTRACTOR. Interaction with OTHER SUBCONTRACTORS and the CONTRACTOR is determined; 
- Any facilities associated with the FACILITY shall be designed and constructed in accordance with this document and the requirements set forth in the Technical Specifications / Requirements and standards included in Annex No. 3, design standards, recommended practices, safety systems design standards included in others sections of the CONTRACT, and the regulatory legal acts of the Russian Federation. If the specifications for connection expires before the completion of the WORK, the SUBCONTRACTOR shall inform the CONTRACTOR in advance in writing and receive updated specifications by the power of attorney of the CONTRACTOR / CUSTOMER. 
- At the detailed design phase and during the development of the 3D model, the SUBCONTRACTOR shall provide for permanent access for maintenance (without the need to dismantle the equipment), the possibility of dismantling, instrumentation, stacking and loading / unloading as part of the scope of repair and maintenance work. </t>
    </r>
  </si>
  <si>
    <t>BL ??</t>
  </si>
  <si>
    <r>
      <t xml:space="preserve">Information security in the scope of WORK means the protection of information in the broadest sense and covers access to information, protection of information from intrusion and damage, and the procedures used to maintain the integrity of information. 
The goal of information security is to ensure business continuity and minimize damage to the business by preventing and minimizing the impact of security incidents. Information security management provides an enabling mechanism for information exchange that protects information and computing resources. 
Three main components: 
</t>
    </r>
    <r>
      <rPr>
        <sz val="11"/>
        <color rgb="FFFF0000"/>
        <rFont val="Calibri"/>
        <family val="2"/>
        <scheme val="minor"/>
      </rPr>
      <t>Confidentiality ../..
Integrity ../..
Availability ../..</t>
    </r>
    <r>
      <rPr>
        <sz val="11"/>
        <color theme="1"/>
        <rFont val="Calibri"/>
        <family val="2"/>
        <scheme val="minor"/>
      </rPr>
      <t xml:space="preserve">
Other chapter: The scope of WORKS on document management includes, but is not limited to: 
 Management of project and technical documentation (all categories of documents)
../..
The SUBCONTRACTOR shall use the CONTRACTOR’S EDMS, namely EDMS Assai 
(unless indicated otherwise) to manage the design and technical documentation and correspondence. 
../..SUBCONTRACTOR undertakes to use the CONTRACTOR numbering procedure «Project specific document and drawing numbering procedure» No. GCC-CC7-PM-00000-PE-PRO-00201 for the purpose of identifying their documentation and further transfer to the CONTRACTOR. 
The SUBCONTRACTOR shall appoint a representative for technical document flow and correspondence responsible for the document flow for the PROJECT and to provide sufficient personnel in terms of the number and competencies for DC discipline from the SUBCONTRACTOR to ensure the document flow 
in full compliance with the requirements of the CONTRACT and procedures. </t>
    </r>
  </si>
  <si>
    <r>
      <t xml:space="preserve">5.3. WORK PACKAGE section 3.2. Consumables and catalysts for the first start-up 
The SUBCONTRACTOR shall purchase (APPROVED quantities of) Consumables and catalysts for the first start-up of each FACILITY Phase that are required to perform the WORKS up to the FACILITY commissioning and deliver them to the CONSTRUCTION SITE. 
</t>
    </r>
    <r>
      <rPr>
        <sz val="11"/>
        <color rgb="FFFF0000"/>
        <rFont val="Calibri"/>
        <family val="2"/>
        <scheme val="minor"/>
      </rPr>
      <t xml:space="preserve">The SUBCONTRACTOR shall purchase and use only those consumables and catalysts that are 
approved by the SUPPLIERS. They shall include the following: nitrogen, water, inhibitors, 
chemicals, lubricants and other consumables, diesel oil, thermal insulation materials, hydraulic oil, catalysts, etc. Consumables and catalysts shall provide the required degree of filing of the FACILITY systems and tanks. </t>
    </r>
  </si>
  <si>
    <t>chemicals first fill</t>
  </si>
  <si>
    <t xml:space="preserve">Typical arrangements for Control Valves, Pressure Relief Valves and Thermal Expansion Relief Valves, Block Valves, Steam Traps, Utility connections and injections, drains, etc, are provided in Legend sheets attached to the Material Requisition applicable for Package Supplier. </t>
  </si>
  <si>
    <t>../.. Arrangement of seminars on HAZID (if necessary), P&amp;ID, HAZOP (with the involvement of SUPPLIERS of main and complete equipment), SIL, Constructability Review (manufacturability of construction), SIMOPS or design seminars prior to preparation of drawings approved for construction (AFC). These seminars shall include the analysis of block installations, as well as the LLE; ../..</t>
  </si>
  <si>
    <t>as per process book</t>
  </si>
  <si>
    <t>no soft ?</t>
  </si>
  <si>
    <t xml:space="preserve">The permissible maximum metal corrosion rate for the heat exchange tubes of the apparatus should 
be no more than 0.05 mm/year. </t>
  </si>
  <si>
    <t xml:space="preserve">For multi-compartment vessels, specified corrosion allowances should be added to each side of the inner bottom or baffle according to the operating conditions of the compartment. The design of removable, non-pressurized internals shall include corrosion allowances of half of specified corrosion allowance for each surface vessel exposed to the contents. The following components are an exception:
Internal components, the main material of which is steel with 12% Cr, stainless steel and nickel, unless otherwise specified in the data sheet
Trays of columns, for which the requirements of TU for trays and packing of process vessels GCC-CC7-PM-00000-ME-TSP-00010 are applied. </t>
  </si>
  <si>
    <t xml:space="preserve">Additional requirements for welding and non-destructive testing are given in Specification for 
Welding of Pressure Equipment GCC-CC7-PM-00000-ME-TSP-00014. </t>
  </si>
  <si>
    <t>Loose supplied prefabricated piping shall be fully painted by Supplier.</t>
  </si>
  <si>
    <r>
      <t xml:space="preserve">If applicable for the package design, Fire Loads are provided in the </t>
    </r>
    <r>
      <rPr>
        <strike/>
        <sz val="11"/>
        <color theme="1"/>
        <rFont val="Calibri"/>
        <family val="2"/>
        <scheme val="minor"/>
      </rPr>
      <t>packages</t>
    </r>
    <r>
      <rPr>
        <sz val="11"/>
        <color theme="1"/>
        <rFont val="Calibri"/>
        <family val="2"/>
        <scheme val="minor"/>
      </rPr>
      <t xml:space="preserve"> individual package specification. 
Fire / explosion walls, mai structural elements, process equipment etc. shall be designed/ protected in accordance with the dimensioning fire loads 
../..</t>
    </r>
  </si>
  <si>
    <r>
      <t xml:space="preserve">Insulation philosophy shall be in accordance with the requirements of «Heatinsulation of pipelines and equipment» GCC-CC7-PM-00000-ME-TSP00009.
If Supplier’s scope of supply does not include insulation, Supplier shall take into account of the above document as well as the following requirements: 
• provide insulation clips as necessary; 
• define the required insulation material thickness; 
• design the arrangement of the package considering the insulation thickness and allowing enough space is provided for the insulation application and for avoiding interference with other components once the insulation will be applied; 
• provide insulation </t>
    </r>
    <r>
      <rPr>
        <sz val="11"/>
        <color rgb="FFFF0000"/>
        <rFont val="Calibri"/>
        <family val="2"/>
        <scheme val="minor"/>
      </rPr>
      <t xml:space="preserve">material take-off (insulation material, jackettings, etc). Supplier to consider 15% extra margin in the material take off. </t>
    </r>
  </si>
  <si>
    <t>consider 15% extra margin</t>
  </si>
  <si>
    <r>
      <t>../.. requirements in force in the territory of the Russian Federation according to the following below works</t>
    </r>
    <r>
      <rPr>
        <sz val="12"/>
        <color rgb="FFFF0000"/>
        <rFont val="Calibri"/>
        <family val="2"/>
        <scheme val="minor"/>
      </rPr>
      <t xml:space="preserve"> to ensure the estimated life of the facilities associated with the PROJECT: at least 20 years for equipment and pipelines; at least 30 years for pipelines of heating networks (steam, steam condensate, hot water), for structures (buildings) at least 50 years</t>
    </r>
    <r>
      <rPr>
        <sz val="11"/>
        <color theme="1"/>
        <rFont val="Calibri"/>
        <family val="2"/>
        <scheme val="minor"/>
      </rPr>
      <t xml:space="preserve">: ../..
Civil activities...../..
../.. Permitting
It is necessary to prepare drawings of </t>
    </r>
    <r>
      <rPr>
        <sz val="14"/>
        <color rgb="FFFF0000"/>
        <rFont val="Calibri"/>
        <family val="2"/>
        <scheme val="minor"/>
      </rPr>
      <t>underground pipelines suc</t>
    </r>
    <r>
      <rPr>
        <sz val="11"/>
        <color theme="1"/>
        <rFont val="Calibri"/>
        <family val="2"/>
        <scheme val="minor"/>
      </rPr>
      <t xml:space="preserve">h as fire water, drinking water. 
The </t>
    </r>
    <r>
      <rPr>
        <sz val="16"/>
        <color rgb="FFFF0000"/>
        <rFont val="Calibri"/>
        <family val="2"/>
        <scheme val="minor"/>
      </rPr>
      <t>SUBCONTRACTOR shall complete the architectural desig</t>
    </r>
    <r>
      <rPr>
        <sz val="11"/>
        <color theme="1"/>
        <rFont val="Calibri"/>
        <family val="2"/>
        <scheme val="minor"/>
      </rPr>
      <t>n including but not limited to the following: ../..
Buildings, refuges, etc. including full architectural design to provide a high level of visualization, functionality, and finishing; 
../..
4.2.5.2 Buildings and control rooms (where applicable) 
(refer to paragraph 4.2.11 "Automation and communication systems") 
The b</t>
    </r>
    <r>
      <rPr>
        <sz val="12"/>
        <color rgb="FFFF0000"/>
        <rFont val="Calibri"/>
        <family val="2"/>
        <scheme val="minor"/>
      </rPr>
      <t>uildings of management include the buildings of control rooms, control rooms of the facility, in which the controller, server equipment, workstations of the Automation Systems are located, as well as equipment of engineering systems to ensure the conditions for the operation of Automation Systems. In general, architectural solutions for control buildings shall provide for the following separate control rooms: control room, UPS room, cable entry room with sealed penetrations, spare parts warehouse, HVAC room, ga</t>
    </r>
    <r>
      <rPr>
        <sz val="11"/>
        <color theme="1"/>
        <rFont val="Calibri"/>
        <family val="2"/>
        <scheme val="minor"/>
      </rPr>
      <t>s fire extinguishing room, system engineers office. 
SUBCONTRACTOR is responsible for the integrated design of control buildings including all the necessary solutions for the placement of operating personnel, placement and connection of the equipment of the Automation Systems and engineering systems for ensuring the working conditions, in accordance with the requirements of the MAC Extended Basic Design, current legislation and regulatory documents of the Russian Federation considering the technical requirements and conditions of the CONTRACTOR, the list of which is provided in Attachment No. 3. 
In general, control buildings shall be equipped with the following engineering support systems: 
../..</t>
    </r>
  </si>
  <si>
    <t xml:space="preserve">Equipment manufactured by foreign manufacturers should be designed in accordance with the generally recognized international design standards (ASME, API, EN, ISO, etc.) specified in section 2.2, as well as the requirements of this Specification, the requirements of the standards specified in the Material Requisition and Equipment Data Sheets. Moreover, the results of strength calculations and technical characteristics of pressure vessels should not be lower than that specified in the requirements of the following documents: 
TR CU 032/2013 "On safety of equipment operating under excess pressure"; 
TR CU 010/2011 "On the safety of machinery and equipment"; 
Federal norms and rules in the field of industrial safety "Rules of industrial safety of hazardous production facilities where equipment operating under excessive pressure is used"; 
GOST 34347-2017;  GOST 34283-2017; GOST 34233.1-2017 in accordance with GOST34233.12-2017 GOST 31838-2012; </t>
  </si>
  <si>
    <r>
      <t xml:space="preserve">All materials, including filler materials, shall be subject to pre-production inspection. The data of certificates and test results of pressure retaining parts shall be entered in the vessel passport. 
According to clause 4.1.1 of GOST 34347-2017, in addition to the Russian materials specified in Appendices A ÷ L to this standard, it is allowed to use of materials according to ASME standard and the European standard EN-13445. The use of </t>
    </r>
    <r>
      <rPr>
        <sz val="11"/>
        <color rgb="FFFF0000"/>
        <rFont val="Calibri"/>
        <family val="2"/>
        <scheme val="minor"/>
      </rPr>
      <t>fully killed carbon steel</t>
    </r>
    <r>
      <rPr>
        <sz val="11"/>
        <color theme="1"/>
        <rFont val="Calibri"/>
        <family val="2"/>
        <scheme val="minor"/>
      </rPr>
      <t xml:space="preserve"> is mandatory for pressure parts supports and loaded elements. Castings are prohibited. 
The use of cast iron for pressure elements is not permitted. The use of cast iron for pressure elements is not permitted. ../..</t>
    </r>
  </si>
  <si>
    <r>
      <t xml:space="preserve">The thickness of the support shell for vertical vessels should be at </t>
    </r>
    <r>
      <rPr>
        <b/>
        <sz val="11"/>
        <color rgb="FFFF0000"/>
        <rFont val="Calibri"/>
        <family val="2"/>
        <scheme val="minor"/>
      </rPr>
      <t xml:space="preserve">least 6 mm. </t>
    </r>
    <r>
      <rPr>
        <sz val="11"/>
        <color theme="1"/>
        <rFont val="Calibri"/>
        <family val="2"/>
        <scheme val="minor"/>
      </rPr>
      <t xml:space="preserve">
In the case of cyclic operating conditions and if design temperature exceeds 390°C, the junction of the support skirt of the vessel with the lower bottom should provide the ability for inspection of the weld by a radiographic method. FEA analysis for these vessel parts shall be provided. The average diameter of the support skirt and vessel shell at the welded joint should be as close as possible. 
If the diameter of the vessel is less than or equal to 2000 mm and HTL-TL / D &lt;2.5, where D is the diameter of the vessel, HTL-TL is the length of the cylindrical part, it is allowed to support the vessel on its supports, except in the following cases: 
- in case of cyclic or pulsating load;
- </t>
    </r>
    <r>
      <rPr>
        <sz val="12"/>
        <color rgb="FFFF0000"/>
        <rFont val="Calibri"/>
        <family val="2"/>
        <scheme val="minor"/>
      </rPr>
      <t xml:space="preserve">operating temperature exceeds 230 ° C;
- agitator is attached to the vessel; </t>
    </r>
    <r>
      <rPr>
        <sz val="12"/>
        <rFont val="Calibri"/>
        <family val="2"/>
        <scheme val="minor"/>
      </rPr>
      <t xml:space="preserve">
- if the distance from the joint of the lower bottom and the shell to the vessel foundation level exceeds 1500 mm. </t>
    </r>
  </si>
  <si>
    <t>The minimum wall thickness in a non-corroded state after the shells and bottoms of the vessel are formed shall be taken as the maximum of the following values: 
- Thickness indicated in the application / data sheet; 
-  Inner diameter / 1000 + 2.5 [mm]; 
- 6 mm for vessels made of carbon and low alloy steel, or 3 mm for vessels made of high alloy steel; 
-  thickness obtained in accordance with strength calculation plus corrosion allowance</t>
  </si>
  <si>
    <t xml:space="preserve">For each design case, the allowable stresses  should comply with TR CU 032/2013, and the main stresses should be within the limits established by the design standards selected by the SUPPLIER : EN 13445-3 Appendix C or ASME VIII Subsection 2 Parts 4.1.6 and 5. 
The thickness of the cladding or deposited layer is not taken into account when calculating the internal or external pressure. 
In addition to basic Code calculations and the load combinations, detailed calculations shall be provided as applicable of the following: 
                   voir les 3 cas de calculs spécifiques supplémentaires demandées
The vessel (in non-corroded condition) including its lifting provisions shall be designed for lifting, using a dynamic factor of 1.5. ../.. Vessels including shipping provisions shall be checked for sea and/or land transport conditions in case one of the following is valid as a minimum: 
- Diameter exceeds 2.5 meter and overall length exceeds12 meter; 
- Equipment transport weight is more than 25 ton; 
- L / (R x t) exceeding 1, where L = Distance between support saddles or two (2) times the overhang length (beyond saddle), whichever is larger (m): 
    - R = Vessel radius (m); 
    - t = Un-corroded vessel thickness including any cladding (mm). 
../.. ST = Sea transport: LT = Land transport=:
Vertical : ST = 2.0g LT = 1.1g 
Longitudinal : ST = 0.4g LT = 1.0g 
Transverse : ST = 0.8g LT = 0.5g 
 </t>
  </si>
  <si>
    <t>../.. For columns having trays, the maximum allowable top deflection shall not be greater than 1/200 of total height unless otherwise required. 
For others vertical equipment including columns with packing, top deflection shall not be greater than 1/100 of the total height unless otherwise required.  ../..</t>
  </si>
  <si>
    <r>
      <t xml:space="preserve">./.. All connecting nozzles should be flanged, with a minimum size of </t>
    </r>
    <r>
      <rPr>
        <sz val="12"/>
        <color rgb="FFFF0000"/>
        <rFont val="Calibri"/>
        <family val="2"/>
        <scheme val="minor"/>
      </rPr>
      <t>DN 50,</t>
    </r>
    <r>
      <rPr>
        <sz val="11"/>
        <color theme="1"/>
        <rFont val="Calibri"/>
        <family val="2"/>
        <scheme val="minor"/>
      </rPr>
      <t xml:space="preserve"> unless otherwise indicated in the data sheet. ../..</t>
    </r>
  </si>
  <si>
    <t xml:space="preserve">Positive material identification (PMI) of completed welds, weld consumables and welded parts of pressure retaining and load bearing components made of chromium-molybdenum and austenitic steels and Fe-Ni and Ni alloys shall be performed to confirm that steel and filler materials used meet the requirements of codes and standards for vessels. Scope of PMI for weld joints shall be not less than defined by GOST 34347-2017 clause 7.6. </t>
  </si>
  <si>
    <r>
      <t xml:space="preserve">Pressure vessels are divided into groups depending on the Design Pressure, the Wall Temperature and the Characteristics Working Environment as indicated in the GOST 34347-2017 Table 1. ../..
The Vessel group defines the volume of inspection and non-destructive examinations to be performed as per section 8 (Inspection Methods) of GOST 34347 -2017 (Table 19): (Number of welds tested by UT or RT in relation to the total number of welds made by a Welder, % min)
</t>
    </r>
    <r>
      <rPr>
        <sz val="12"/>
        <color rgb="FFFF0000"/>
        <rFont val="Calibri"/>
        <family val="2"/>
        <scheme val="minor"/>
      </rPr>
      <t xml:space="preserve">Vessel Group (VG) 1,2 = 100 %, VG 3 = 50 %, VG 4 = 25% and VG 5 = 10% </t>
    </r>
  </si>
  <si>
    <t>The hydrostatic pressure test shall be performed in accordance with the Codes, regulations and standards. Each compartment shall be hydrostatic ETC … avec qualité de l'eau pour SS etc…
The test pressure shall be held for the period specified by the Code but not less than one hour. ../..</t>
  </si>
  <si>
    <r>
      <t xml:space="preserve">The SUBCONTRACTOR is also obliged to involve the Certification body of experts that is accredited according to the requirements of the current legislation of the Russian Federation in the evaluation of availability and completeness of the equipment and materials provided by the SUPPLIERS, of required certificates and permits under applicable legislation of the Russian Federation and the Eurasian Economic Union. </t>
    </r>
    <r>
      <rPr>
        <sz val="12"/>
        <color rgb="FFFF0000"/>
        <rFont val="Calibri"/>
        <family val="2"/>
        <scheme val="minor"/>
      </rPr>
      <t xml:space="preserve">The procedure for choosing a Body of experts shall be submitted to the CONTRACTOR for approval. </t>
    </r>
  </si>
  <si>
    <t xml:space="preserve">The vessels shall be categorized according to TR CU 032/2013 table 1, 2, 3 or 4 depending on working environments group. Working environments Group (Gas Group 1, Gas Group 2, Liquid group 1 or Liquid Group 2) and the resulting category of vessel (I, II, III or IV) shall be stated in the VENDOR general arrangement drawing. </t>
  </si>
  <si>
    <t>../.. The materials of pressure parts, permanent internal / external load-bearing components and parts welded to the pressure sheath should be supplied with at least certificate of type 3.1 according to EN10204. These parts include the following, but are not limited to: 
- Entire pressure casing, including fasteners and welding consumables; 
- Internal support rings and girders; 
- Vacuum rings; 
- Lifting covers; 
- Lifting eyes; 
- Support shell and anchor ring; 
- Mounting plates + brackets. 
Certificate of type 3.2 should be issued for pressurized materials and loaded components to which one of the following definitions applies according to EN10204:
Rarely used materials (for example Cr-MoV P91) and titanium alloys Type 2.2 for others../..</t>
  </si>
  <si>
    <t>Cladding (bimetal, CLADDING) can only be carried out using weld overlay, explosion welding or rolling. Lining should not be used. Materials for cladding manholes, branch pipes of fittings, manhole covers and similar elements should be the same as materials of shell and bottoms. If a clad sheet is used as a material for the manufacture of vessel elements, it shall meet the following requirements: 
Voir le chapitre de la spec pour plus de détails...</t>
  </si>
  <si>
    <t xml:space="preserve">The thickness of the cladding should be at least 3 mm. </t>
  </si>
  <si>
    <t xml:space="preserve">"Tube-to-tube sheet" welding shall be supplemented with dye penetrant inspection after the first pass and after the completion of welding. The welded joint shall be checked by pneumatic test. After postweld heat treatment (if necessary) and tube expansion, the final inspection of the welded seams should be carried out by dye penetrant inspection method. 
In case of mixing of tube and shell side working mediums is not allowed, an appropriate leak detection method (e.g. helium) shall be selected for tightness control of tube-to-tube sheet connections. </t>
  </si>
  <si>
    <t>../.. Permissible loads on air coolers from external piping should be 2 times the values specified in API 
661/ISO 13706. ../..</t>
  </si>
  <si>
    <t xml:space="preserve">The possibility of using other standards, as well as the supplier's standards, is specified in the corresponding sections for each type of equipment. ../..
All equipment shall be mounted on a package skid base frame where appropriate. Auxiliaries shall be on the base plate. But the base plate dimension should be optimized by overhanging material from the base plate. ../..
</t>
  </si>
  <si>
    <r>
      <t xml:space="preserve">The applicable pump manufacturing standard shall be defined according to the following rules: 
- ISO 5199-2002 (GOST R 54805 - 2011) Centrifugal Pumps. Technical Specifications. </t>
    </r>
    <r>
      <rPr>
        <sz val="11"/>
        <color rgb="FFFF0000"/>
        <rFont val="Calibri"/>
        <family val="2"/>
        <scheme val="minor"/>
      </rPr>
      <t xml:space="preserve">Class II </t>
    </r>
    <r>
      <rPr>
        <sz val="11"/>
        <color theme="1"/>
        <rFont val="Calibri"/>
        <family val="2"/>
        <scheme val="minor"/>
      </rPr>
      <t xml:space="preserve">shall apply, subject to the parallel application of the following conditions: 
-- Pumping temperature: &lt;150°С; 
-- Suction pressure: ≤0.5 MPa; 
-- Discharge pressure: ≤1.8 MPa; 
-- Rated total head: ≤120 m; 
-- Impeller diameter: ≤330 mm; 
-- Rotating speed: ≤3600 rpm. 
- For water pumps with maximum pumping temperature ≤85°С and maximum head ≤90 m, ISO 9908 - 1993 (GOST R 54804 - 2011) Centrifugal pumps. Technical specifications. </t>
    </r>
    <r>
      <rPr>
        <sz val="11"/>
        <color rgb="FFFF0000"/>
        <rFont val="Calibri"/>
        <family val="2"/>
        <scheme val="minor"/>
      </rPr>
      <t>Class III</t>
    </r>
    <r>
      <rPr>
        <sz val="11"/>
        <color theme="1"/>
        <rFont val="Calibri"/>
        <family val="2"/>
        <scheme val="minor"/>
      </rPr>
      <t xml:space="preserve"> may be also applied, provided that all the above conditions are met; 
- If any of conditions stated above cannot be met, </t>
    </r>
    <r>
      <rPr>
        <sz val="11"/>
        <color rgb="FFFF0000"/>
        <rFont val="Calibri"/>
        <family val="2"/>
        <scheme val="minor"/>
      </rPr>
      <t>API 610 standard</t>
    </r>
    <r>
      <rPr>
        <sz val="11"/>
        <color theme="1"/>
        <rFont val="Calibri"/>
        <family val="2"/>
        <scheme val="minor"/>
      </rPr>
      <t xml:space="preserve"> (or GOST 32601-2013) shall apply; 
- ISO 9905:1994 (GOST R 54806 – 2011) Centrifugal pumps. Technical specifications, </t>
    </r>
    <r>
      <rPr>
        <sz val="11"/>
        <color rgb="FFFF0000"/>
        <rFont val="Calibri"/>
        <family val="2"/>
        <scheme val="minor"/>
      </rPr>
      <t>Class I</t>
    </r>
    <r>
      <rPr>
        <sz val="11"/>
        <color theme="1"/>
        <rFont val="Calibri"/>
        <family val="2"/>
        <scheme val="minor"/>
      </rPr>
      <t xml:space="preserve"> may be applied in units not related to the main process instead of API 610. 
</t>
    </r>
    <r>
      <rPr>
        <sz val="12"/>
        <color rgb="FFFF0000"/>
        <rFont val="Calibri"/>
        <family val="2"/>
        <scheme val="minor"/>
      </rPr>
      <t>Sealed pumps shall meet the requirements of API 685.</t>
    </r>
    <r>
      <rPr>
        <sz val="11"/>
        <color theme="1"/>
        <rFont val="Calibri"/>
        <family val="2"/>
        <scheme val="minor"/>
      </rPr>
      <t xml:space="preserve"> 
</t>
    </r>
    <r>
      <rPr>
        <sz val="12"/>
        <color rgb="FFFF0000"/>
        <rFont val="Calibri"/>
        <family val="2"/>
        <scheme val="minor"/>
      </rPr>
      <t xml:space="preserve">Pumps with a magnetic coupling shall not be used. </t>
    </r>
    <r>
      <rPr>
        <sz val="11"/>
        <color theme="1"/>
        <rFont val="Calibri"/>
        <family val="2"/>
        <scheme val="minor"/>
      </rPr>
      <t xml:space="preserve">
Other standards can apply if recommended by LICENSOR and approved by CUSTOMER. </t>
    </r>
  </si>
  <si>
    <t>Deviation faite pour magnetic coupling</t>
  </si>
  <si>
    <t>The following paragraphs of this section shall be used as a starting point for determining acceptable allowable loads on nozzles. 
6.4.1. Centrifugal Compressor … voir spec
6.4.2. Centrifugal Pumps .. Voir spec
6.4.3. Steam Turbines … voir spec
6.4.4. Reciprocating Pumps and Compressors … voir spec
6.4.5. Blowers … voir spec
6.4.6. Package Units … voir spec
6.4.7. Other and Special Equipment … voir spec</t>
  </si>
  <si>
    <r>
      <t xml:space="preserve">11.1. Package unit isolation   ../..
11.2. Pressure safety valve arrangement  ../..
11.3. Accessibility for skid-mounted package units and sub items
Package arrangement shall be designed to allow the following human access clearance: 2.0 m heigh and 0.8 m width. 
../..
Permanent access shall be provided by the Supplier to the extent indicated below: (instrumetns, vannes...) ../..
The final number and arrangement of access by means of walkways, platforms or ladders will be subject to review by the Subcontractor during the 3D model review, to ensure that the most effective layout for operation and maintenance is achieved for the package. 
</t>
    </r>
    <r>
      <rPr>
        <sz val="11"/>
        <color rgb="FFFF0000"/>
        <rFont val="Calibri"/>
        <family val="2"/>
        <scheme val="minor"/>
      </rPr>
      <t xml:space="preserve">Escape ways shall be free of any obstacle. Indication of Escape ways should be according to GOST 12.4.026-2015. 
</t>
    </r>
    <r>
      <rPr>
        <sz val="11"/>
        <rFont val="Calibri"/>
        <family val="2"/>
        <scheme val="minor"/>
      </rPr>
      <t>11.4. Maintenance requirements
../.. voir le chapitre
 Supplier shall provide relevant special tools if needed to ensure removal and refill of media ../..
removable bundle, requiring maintenance are mounted within a skidded package, such that free access from external mobile lifting equipment is not achievable, the Supplier shall include permanent handling facilities for removal of these elements.
This requirement shall apply when the weight of any single component to be removed or handled</t>
    </r>
    <r>
      <rPr>
        <sz val="11"/>
        <color rgb="FFFF0000"/>
        <rFont val="Calibri"/>
        <family val="2"/>
        <scheme val="minor"/>
      </rPr>
      <t xml:space="preserve"> exceeds 25 kg. </t>
    </r>
    <r>
      <rPr>
        <sz val="11"/>
        <rFont val="Calibri"/>
        <family val="2"/>
        <scheme val="minor"/>
      </rPr>
      <t>../....will be needed for the design and purchase of the considered lifting devices. Permanent hoist, if required by Lifting machines and structures Specification GCC-CC7-PM-00000-PI-TSP-00006 shall be supply, tested and installed by Supplier.</t>
    </r>
    <r>
      <rPr>
        <sz val="11"/>
        <color rgb="FFFF0000"/>
        <rFont val="Calibri"/>
        <family val="2"/>
        <scheme val="minor"/>
      </rPr>
      <t xml:space="preserve"> ../..</t>
    </r>
  </si>
  <si>
    <t>Bundle removal from exchangers are made with mobile crane</t>
  </si>
  <si>
    <r>
      <t xml:space="preserve">../.. Arrangement of seminars on the consideration of 3D models (30% </t>
    </r>
    <r>
      <rPr>
        <sz val="11"/>
        <color rgb="FFFF0000"/>
        <rFont val="Calibri"/>
        <family val="2"/>
        <scheme val="minor"/>
      </rPr>
      <t>(if necessary)</t>
    </r>
    <r>
      <rPr>
        <sz val="11"/>
        <color theme="1"/>
        <rFont val="Calibri"/>
        <family val="2"/>
        <scheme val="minor"/>
      </rPr>
      <t>, 60%, 90%); ../..</t>
    </r>
  </si>
  <si>
    <t>The SUBCONTRACTOR shall provide data in accordance with the requirements and schedule specified in the Data Management Procedure and Data Specification of the SUPPLIER. The SUBCONTRACTOR may develop their own workflow, templates, schedule, and data presentation scope to organize the collection and management of SUPPLIER and SUBCONTRACTOR data. Such workflows, templates, schedule, and scope of data submission shall be approved by the CONTRACTOR in accordance with the document "SUPPLIER Data Management". The SUBCONTRACTOR shall provide the following information: ../..</t>
  </si>
  <si>
    <r>
      <t xml:space="preserve">3.1.10.6. 3D modeling (refer to procedure GCC-CC7-PM-00000-PE-SPE-00216) 
The SUBCONTRACTOR is responsible for the development of a 3D model in a single E3D project (AVEVA Everything) within the scope of the SUBCONTRACTOR’S WORKS. 
The level of detail of the 3D model, identification requirements, and attribute requirements for each discipline shall be sufficient to generate documentation directly from the 3D model and to support other PROJECT-related operations. 
The SUBCONTRACTOR shall develop a 3D CAD Modeling Procedure (general requirements and conditions) and a 3D CAD Modeling Procedure for engineering disciplines (one procedure for each discipline), which shall be provided to CONTRACTOR for APPROVAL. 
The CONTRACTOR will provide the development of a common 3D model in one E3D project using AG (AVEVA Global). The CONTRACTOR will provide the SUBCONTRACTOR involved in the 
development of the 3D model with access to the common E3D project database, if required. 
The CONTRACTOR will provide read-only access to SUBCONTRACTOR AG Satellite to the E3D AG Hub to all databases required for modeling in E3D. 
The SUBCONTRACTOR shall set up and execute </t>
    </r>
    <r>
      <rPr>
        <sz val="11"/>
        <color rgb="FFFF0000"/>
        <rFont val="Calibri"/>
        <family val="2"/>
        <scheme val="minor"/>
      </rPr>
      <t>daily scheduled database updates</t>
    </r>
    <r>
      <rPr>
        <sz val="11"/>
        <color theme="1"/>
        <rFont val="Calibri"/>
        <family val="2"/>
        <scheme val="minor"/>
      </rPr>
      <t xml:space="preserve"> through the AG for the CONTRACTOR. 
The following requirements of the CONTRACTOR shall be included in the 3D CAD Modeling Procedures: 
 Persons responsible for configuring Global Satellites, reliable operation of the Global Daemon and regular database maintenance; 
 The structure of the AG Satellite project of all levels, the synchronization schedule; 
 The person responsible for the coordination of 3D modeling with the CONTRACTOR; 
 Processes for controlling and resolving collisions and Checking the integrity of pipelines before creating documents from the model; 
 Preparation of a 3D model for the transfer process; 
 All physical interfaces with other parts of the PROJECT shall be modeled and named according to the procedures. 
It is allowed to develop 3D models for individual disciplines in software other than E3D (for example, in Tekla), but agreed with the CONTRACTOR. In this case, the model developed in such software shall be converted by the SUBCONTRACTOR to the E3D model. The import shall be organized in such a way that the imported items become "native" facilities of the E3D model and have the appropriate attribute information and smart links to the catalog items. The import process and schedule shall be described in the appropriate Engineering 3D CAD Modeling Procedure and agreed with the CONTRACTOR. 
The SUBCONTRACTOR shall provide the Navisworks NWD files in accordance with the GCC-CC7-PM-00000-PE-SPE-00216 procedure so the CONTRACTOR can formally review and comment on the 3D model. Settings for RVM export from E3D will be provided by the CONTRACTOR and will be used by the SUBCONTRACTOR </t>
    </r>
  </si>
  <si>
    <t>The concept and main technical solutions for the construction of Automation systems shall be defined in the MAC Extended Basic Design, the composition of which is given in Annex No. 7. Any deviations from the technical solutions of the MAC Extended Basic Design at the DDD phase, as well as proposals for alternative solutions, shall be made in the form of written requests to the MAC and the CONTRACTOR. Such deviations shall be additionally analyzed by the MAC. If necessary, full-scale tests shall also be conducted. ../..</t>
  </si>
  <si>
    <r>
      <t xml:space="preserve">The main cable from the control buildings to the field distribution boxes shall be laid above ground in separate cable trays for Automation systems. The cross-section of trestles, the layout of cables on shelves and trays shall be unified for all units at the FACILITY. 
Unless otherwise required by the project, the main cable routes of Automation systems shall have a standard design with the following recommended parameters: 
 the stands attached to the purlins can be performed in two ways: directly to the purlin with an M12 bolt through the reinforced washers or on a special pad with an M12 stud shot to the purlin; the stand with a length of more than 2000 mm shall be fixed in three places; 
 the shelves shall only be bolted to the stands with at least an M10 connection (welding is prohibited); 
 the load on the shelves shall be calculated regarding the weight of the tray and cable, as well as the weight of the installer; 
 the standard width of the tray shelf shall be 600 mm; 
 the total width of the trays on one shelf shall not exceed 500 mm; 
 </t>
    </r>
    <r>
      <rPr>
        <sz val="12"/>
        <color rgb="FFFF0000"/>
        <rFont val="Calibri"/>
        <family val="2"/>
        <scheme val="minor"/>
      </rPr>
      <t>all stands, shelves, and trays shall be manufactured according to the hot-dip galvanizing technology</t>
    </r>
    <r>
      <rPr>
        <sz val="11"/>
        <color theme="1"/>
        <rFont val="Calibri"/>
        <family val="2"/>
        <scheme val="minor"/>
      </rPr>
      <t xml:space="preserve">; 
 the height of the lower shelf on the cable trestle from the passage bridge surface shall be at least 200 mm. The vertical distance between shelves – at least 300 mm; 
 a minimum clearance of 150 mm shall be provided between the walkway bridge and the floor of the cable gallery to lay the tray on the opposite side of the descent; 
 a standard ladder-type ladder tray with a side height of 100 mm shall be used; 
 shelves shall be mounted on all tiers of the overpass for reserve. </t>
    </r>
  </si>
  <si>
    <t xml:space="preserve">Supplier shall perform internal skid earthing wiring and connected as per IEC and project specification, wired up to two diagonally opposite earthing bosses installed at skid edge. Within skid,separate connections shall be used for each individual earth connector. </t>
  </si>
  <si>
    <t>not bulk !</t>
  </si>
  <si>
    <t>6. PACKAGE OF WORKS No. 4. LARGE-UNIT ASSEMBLY 
Section 4.1
Large-unit assembly outside the CONSTRUCTION SITE shall be performed by SUBCONTRACTOR on the 
SUBSUBCONTRACTOR’s YARD. All procurement and installation works for modularization are following to: 
 Structures; 
 Welding and non-destructive testing (NDT) 
 Pipelines and fittings; 
 Electrical and instrument; 
 Automation and communication systems; 
 ICSS; 
 Telecommunications systems; 
 Fire protection equipment; 
 Painting and coating, passive fire protection, and cryogenic spill protection; 
 Insulation coating; 
 Installation equipment, components, and assemblies; 
 Heating, ventilation, and air conditioning system (HVAC); 
 The other required systems. 
The SUBCONTRACTOR is fully responsible for ensuring that the large-unit assembly performed 
outside the CONSTRUCTION SITE complies with the CONTRACT terms. 
SUBCONTRACTOR will provide office facilities and services for CONTRACTOR’s staff based on 
request from CONTRACTOR (see WORK PACKAGE section 7.2) 
The SUBCONTRACTOR shall organize the large-unit assembly and delivery of the work results 
(MODULES) to the CONSTRUCTION SITE in accordance with the WORK schedule. 
../.. Module size</t>
  </si>
  <si>
    <t>when applicable</t>
  </si>
  <si>
    <r>
      <t>Supplier shall issue necessary procedures prior to delivery which shall be applied to any equipment to cover: 
• The preservation during workshop storage; 
• The preservation, packing and fastening of equipment during transportation from Supplier facilities to construction site; 
• Depreservation unit instructions. 
The procedures shall contain a check list including all preservation and packing tasks. The hereafter requirements shall also be applied to the Spares delivered with the contract. The Spares shall always be preserved and packed for long term outdoor storage, a</t>
    </r>
    <r>
      <rPr>
        <sz val="12"/>
        <color rgb="FFFF0000"/>
        <rFont val="Calibri"/>
        <family val="2"/>
        <scheme val="minor"/>
      </rPr>
      <t>t least 24 months. 
../..</t>
    </r>
  </si>
  <si>
    <t>Supplier should provide compliance of all Project units, systems and facilities with the following environment protection requirements: 
• Russian environmental Law and regulatory act;
• international standards and requirements, best available technologies and examples of good international practice applicable to Project unis, systems and facilities;
• owner’s requirements;
• project  technical specifications. 
ETC ../..</t>
  </si>
  <si>
    <t>Client (LLC)/ Project (GCC within EGPC) / Contractor / Sub contractor or Subsupplier</t>
  </si>
  <si>
    <t xml:space="preserve">In accordance with the EP+FAB CONTRACT strategy for the execution of the PROJECT, scope of work OPTIONS are considered: 
 OPTION 1.1: NOT USED; 
 OPTION 1.2: Two (2) paper copies (stamped and signed) of all original documents from the FINAL PACKAGE OF DOCUMENTS that are not required in paper form under APPLICABLE LEGISLATION;  OPTION 1.3: Designing the Maintenance and inspections, training operators in Maintenance and inspections, etc. - refer to Annex No. 6; 
OPTION 1.4: Local Treatment Units (LTU) for Chrome-Containing Effluents for additional purification of chrome-containing effluents fed from spent catalyst and waxes thermal decontamination unit of Hexene-1 Unit – refer to Annex No.1. </t>
  </si>
  <si>
    <t>Options ?</t>
  </si>
  <si>
    <r>
      <t xml:space="preserve">Engineering surveys required for the release of the DD and the first audit of the RF State Expert Evaluation Department were performed by </t>
    </r>
    <r>
      <rPr>
        <sz val="12"/>
        <color rgb="FFFF0000"/>
        <rFont val="Calibri"/>
        <family val="2"/>
        <scheme val="minor"/>
      </rPr>
      <t>ANOTHER SUBCONTRACTOR (RDI)</t>
    </r>
    <r>
      <rPr>
        <sz val="11"/>
        <color theme="1"/>
        <rFont val="Calibri"/>
        <family val="2"/>
        <scheme val="minor"/>
      </rPr>
      <t xml:space="preserve"> during the DD development phase. </t>
    </r>
  </si>
  <si>
    <t>Design supervision is part of the construction control performed by the SUBCONTRACTOR's design team directly at the CONSTRUCTION SITE. The design supervision group shall be created under the current Russian legislation. The SUBCONTRACTOR shall prepare the design supervision procedure and submit it to the CONTRACTOR for APPROVAL. ../..</t>
  </si>
  <si>
    <t xml:space="preserve">7.3.3. Snow and ice loads 
Voir tableau..
The requirements of GCC-CC7-PM-00000-CITSP-00002 shall be applied to the calculation of structures and equipment of units for snow and ice loads. Snow cover depth: 0.55 m
(service areas; outdoor installations without pavement heating; height of supports for sleeper ways for pipes and insulation and cable racks) 
Maximum number of precipitations per day 66 mm. 
Precipitations per year 734 mm. 
Warm season precipitation 484 mm. 
Cold season precipitation 250 mm. </t>
  </si>
  <si>
    <t xml:space="preserve">The value of snow load is taken as 1.8 kPa in accordance with SP 20.13330.2011 </t>
  </si>
  <si>
    <t>pas de seisme</t>
  </si>
  <si>
    <t>Blast undefined</t>
  </si>
  <si>
    <t>Standard at unit lavel</t>
  </si>
  <si>
    <t xml:space="preserve">During the completion of the WORKS, the SUBCONTRACTOR shall follow the CONTRACTOR’s change management procedures: 
 GCC-CC7-PM-00000-PE-PRO-00214 Control over introduction and execution of changes into Detailed Design Documentation; 
 GCC-CC7-PM-00000-PE-PRO-00217 Technical Deviations and Technical Clarification management. </t>
  </si>
  <si>
    <t>no building</t>
  </si>
  <si>
    <t>no piping class available</t>
  </si>
  <si>
    <t>no site activities</t>
  </si>
  <si>
    <r>
      <t xml:space="preserve">5.2. WORK PACKAGE section 3.1. Equipment purchase 
../..
  Issue various procurement reports according to the format approved by the CONTRACTOR and 
at specified intervals under the requirements specified in Annex No. 2; 
../..
  APPROVAL by the SUBCONTRACTOR shall be conducted according to Annex No. 5; 
../..
The SUBCONTRACTOR </t>
    </r>
    <r>
      <rPr>
        <sz val="14"/>
        <color rgb="FFFF0000"/>
        <rFont val="Calibri"/>
        <family val="2"/>
        <scheme val="minor"/>
      </rPr>
      <t>shall use the CONTRACTOR's EDMS (Assai) t</t>
    </r>
    <r>
      <rPr>
        <sz val="11"/>
        <color theme="1"/>
        <rFont val="Calibri"/>
        <family val="2"/>
        <scheme val="minor"/>
      </rPr>
      <t xml:space="preserve">o track the status of all PROJECT and SUPPLIER-related documents for review and approval. The system shall be compatible with the CONTRACTOR's computerized document management system. 
The CONTRACTOR shall have read-only access to the SUBCONTRACTOR's workflow system. </t>
    </r>
  </si>
  <si>
    <t>No H2S</t>
  </si>
  <si>
    <t>no cyclic</t>
  </si>
  <si>
    <r>
      <t xml:space="preserve">Supplier shall provide the necessary permanent personnel protection equipment to protect operators from risks associated to the accidental contact with the fluids handled within the Package during operations of the facilities and with hot surfaces in accordance with Heat  insulation of pipelines and equipment GCC-CC7-PM-00000ME-TSP-00009. All exposed moving parts on all machinery shall be suitably guarded to protect personnel from injury. Supplier shall also advise about the need for: 
</t>
    </r>
    <r>
      <rPr>
        <sz val="11"/>
        <color rgb="FFFF0000"/>
        <rFont val="Calibri"/>
        <family val="2"/>
        <scheme val="minor"/>
      </rPr>
      <t>• Breathing escape packs;
• Self-contained breathing apparatus;
• Combined safety-showers and eye-wash units;</t>
    </r>
    <r>
      <rPr>
        <sz val="11"/>
        <color theme="1"/>
        <rFont val="Calibri"/>
        <family val="2"/>
        <scheme val="minor"/>
      </rPr>
      <t xml:space="preserve">
• etc…
Routing of exhaust pipes to a location away from operator shall be provided.
</t>
    </r>
  </si>
  <si>
    <t>voir HSE Studies et PP ci-dessous</t>
  </si>
  <si>
    <t>20 ans
no underground,
no architectural</t>
  </si>
  <si>
    <t xml:space="preserve"> Use of foreign steel grades is allowed in case they have technical certificates or other approvals of 
their compliance. </t>
  </si>
  <si>
    <t>../.. Loads on Plate heat exchanger nozzle should comply with API 662 / ISO 15547 Table 1 Standard
Operating Loads for Nozzles, Part 1. ../..</t>
  </si>
  <si>
    <r>
      <t xml:space="preserve"> 
Gland sealing is not permissible 
For pumping non-explosive liquids of III and IV hazard classes according to GOST 12.1.007-76, centrifugal pumps with a single end seal can be used. 
In all other cases, tandem mechanical seals shall be used. 
Mechanical seals by AO "TRAM Engineering", "Eagle-Burgmann" and “John Crane” shall be used. 
Cooling, flushing of end seal, chambers of end seals piping layouts shall meet API 682. 
</t>
    </r>
    <r>
      <rPr>
        <sz val="11"/>
        <color rgb="FFFF0000"/>
        <rFont val="Calibri"/>
        <family val="2"/>
        <scheme val="minor"/>
      </rPr>
      <t>The preferred piping plan is plan 52.</t>
    </r>
    <r>
      <rPr>
        <sz val="11"/>
        <color theme="1"/>
        <rFont val="Calibri"/>
        <family val="2"/>
        <scheme val="minor"/>
      </rPr>
      <t xml:space="preserve"> 
Non-explosive fluid, chemically neutral to the pumped service, maximum forth hazard class as per GOST 12.1.007-76, shall be used as a barrier fluid. 
Thermosyphon tanks and piping of the face seal piping shall be made of alloyed austenite steel. 
Drainage pipe with shut-off valves shall be provided for barrier/buffer liquid draining from piping and seals. 
Air cooling of the barrier / buffer liquid by natural convection shall be preferrable solution. 
Cartridge type end seals shall be used. 
End seals for pumps with temperature below 150 ºС shall be preferably designed with two sequentially arranged multi-spring seals with double hydraulic relief. The seal shall be type А per API 682. </t>
    </r>
  </si>
  <si>
    <r>
      <t xml:space="preserve">refer to procedure GCC-CC7-PM-00000-PE-SPE-00216) 
SUBCONTRACTOR is responsible for the phased and final transfer of the 3D model and CAD databases: 
</t>
    </r>
    <r>
      <rPr>
        <sz val="12"/>
        <color rgb="FFFF0000"/>
        <rFont val="Calibri"/>
        <family val="2"/>
        <scheme val="minor"/>
      </rPr>
      <t xml:space="preserve"> AVEVA E3D; 
 AVEVA Diagrams; 
 SPEL/SPI. </t>
    </r>
    <r>
      <rPr>
        <sz val="11"/>
        <color theme="1"/>
        <rFont val="Calibri"/>
        <family val="2"/>
        <scheme val="minor"/>
      </rPr>
      <t xml:space="preserve">
The SUBCONTRACTOR shall manage all administration and replication activities for the E3D databases. 
The SUBCONTRACTOR shall develop a 3D CAD Modeling Procedure, which shall include details of the administration and replication, management, and provision of the system architecture to support the following general engineering databases listed above in this section. </t>
    </r>
  </si>
  <si>
    <t>GCC-CC7-PM-00000-PE-PRO-00205) 
The Project Reference Data procedure provided by the CONTRACTOR shall be used to manage and 
update the Project Codes Lists and Data Requirements Matrices included in the procedures 
and Specifications of the CONTRACTOR. ../..</t>
  </si>
  <si>
    <r>
      <t xml:space="preserve">The SUBCONTRACTOR is responsible for the quality of the information provided. 
A SUBCONTRACTOR shall ensure that the information requirements are included in the contractual requirements for all their SUBCONTRACTORS and SUPPLIERS, and the information received from their SUBCONTRACTORS and SUPPLIERS is </t>
    </r>
    <r>
      <rPr>
        <sz val="11"/>
        <color rgb="FFFF0000"/>
        <rFont val="Calibri"/>
        <family val="2"/>
        <scheme val="minor"/>
      </rPr>
      <t xml:space="preserve">complete, consistent and correct. </t>
    </r>
    <r>
      <rPr>
        <sz val="11"/>
        <color theme="1"/>
        <rFont val="Calibri"/>
        <family val="2"/>
        <scheme val="minor"/>
      </rPr>
      <t xml:space="preserve">
The SUBCONTRACTOR shall develop and submit an Information Quality Management System (IQMF) document to the CONTRACTOR for APPROVAL. The "Information Quality Management System" shall demonstrate that the information provided by the SUBCONTRACTOR meets the requirements 
of the CONTRACTOR and complies with the standards acceptable to the CONTRACTOR. 
../..</t>
    </r>
  </si>
  <si>
    <r>
      <t xml:space="preserve">I&amp;A sampling and pulse lines shall be heated with electricity. </t>
    </r>
    <r>
      <rPr>
        <sz val="11"/>
        <color rgb="FFFF0000"/>
        <rFont val="Calibri"/>
        <family val="2"/>
        <scheme val="minor"/>
      </rPr>
      <t xml:space="preserve">Pre-insulated pulse lines with electric heating is a priority. </t>
    </r>
  </si>
  <si>
    <t>electrical tracing</t>
  </si>
  <si>
    <t xml:space="preserve">Electrical terminal boxes as part of electrical equipment and terminal boxes for general electrical equipment shall be mounted within the package unit Battery Limits. </t>
  </si>
  <si>
    <t>except for motors</t>
  </si>
  <si>
    <t>Qui fait la préservation ?</t>
  </si>
  <si>
    <t>The SUBCONTRACTOR shall prepare a HSE plan that complies with the international standards OSHAS 18001 and/or ISO 45001 (it depends on specific project requirements), ISO 14001 and the requirements of B3 "Industrial safety requirements for implementing the scope of work under the project." The HSE Plan is submitted to the CONTRACTOR for APPROVAL. ETC ../..The SUBCONTRACTOR appoints an HSE manager who is responsible for the execution of the HSE plan and reports directly to the PROJECT manager. 
The scope of the SUBCONTRACTOR obligations on health, labor, industrial, fire safety and environmental protection includes the following: ETC ../..</t>
  </si>
  <si>
    <t>A noter</t>
  </si>
  <si>
    <t>4.4. WORK PACKAGE section 2.4. Design supervision 
Design supervision is part of the construction control performed by the SUBCONTRACTOR's design team directly at the CONSTRUCTION SITE. The design supervision group shall be created under the current Russian legislation. The SUBCONTRACTOR shall prepare the design supervision procedure and submit it to the CONTRACTOR for APPROVAL. 
../..
Design supervision shall be performed as per SP 11-110-99, RD-11-05-2007, SP 246.1325800.2016, GOST R 21.1101-2013, SP 70.13330.2012 and includes the following: ../..</t>
  </si>
  <si>
    <t>qui ?</t>
  </si>
  <si>
    <t>Supplier shall include in their Procedure forpreparation of equipment for commissioning requirements for the cleanliness of process and utility piping, including the method of verification and acceptance criteria.  
Leak test procedure, with special tool list, if any, shall be included in Supplier procedure of Preparation of Equipment for Commissioning.
Supplyer shall recommend ... ../..</t>
  </si>
  <si>
    <r>
      <t xml:space="preserve">Pre-commissioning should be completed in two stages: 
Stage 1: Pre-commissioning on YARD in PACKAGES (modules) battery limits; 
Stage 2: Pre-commissioning on CONSTRUCTION SITE in FACILITY battery limits. 
The SUBCONTRACTOR shall develop a detailed pre-commissioning (PC) schedule for the CONSTRUCTION SITE (YARD) on time, obtain the CONTRACTOR'S APPROVAL, and perform 
the PC under this schedule. The schedule shall be based on the APPROVED sequences of 
subsystem commissioning in full accordance with the Scope of WORKS. 
../..
To transfer documentation, control forms, and other information during the PC, the 
SUBCONTRACTOR shall use the </t>
    </r>
    <r>
      <rPr>
        <sz val="11"/>
        <color rgb="FFFF0000"/>
        <rFont val="Calibri"/>
        <family val="2"/>
        <scheme val="minor"/>
      </rPr>
      <t>CONTRACTOR'S special software / database u</t>
    </r>
    <r>
      <rPr>
        <sz val="11"/>
        <color theme="1"/>
        <rFont val="Calibri"/>
        <family val="2"/>
        <scheme val="minor"/>
      </rPr>
      <t xml:space="preserve">nder the procedure "Information management plan" No GGC-CC7-PM-00000-IM-PLN-00110. </t>
    </r>
  </si>
  <si>
    <t>Pre comm at site By ??</t>
  </si>
  <si>
    <t xml:space="preserve">In terms of PC, the SUBCONTRACTOR shall perform the following WORKS, but not limited by 
them: 
 Prepare the General procedure of the PC and submit it to the CONTRACTOR for APPROVAL; 
 Develop PC statements under the Project design documentation; 
 Prepare the forms, inspection plans, control sheets, and procedures of PC, as well as tests of 
each subsystem consisting of the following and submit them to the CONTRACTOR for APPROVAL: test values, reference documents, test equipment, estimated test duration in man-hours, and other test parameters; 
 Determine the number of man-hours during PC and prepare labor histograms; 
 Submit a progress monitoring form to the CONTRACTOR for APPROVAL; 
 Prepare a list of SP, special tools and accessories, consumables, and a Register of chemicals that will be used during the PC and send them to the CONTRACTOR. </t>
  </si>
  <si>
    <t xml:space="preserve">../..
At the CONTRACTOR'S request, the SUBCONTRACTOR shall provide SP, special tools, and consumables used by the SUBCONTRACTOR and his SUBSUBCONTRACTORS during the WORKS for inspection. The tools shall have the necessary  safety data sheets, be certified, and have a valid verification period for the entire period of the WORKS. 
The SUBCONTRACTOR shall keep a register of all chemicals used for the WORKS, including 
material safety data sheets, and provide the register to the SUBCONTRACTOR. The SUBCONTRACTOR shall pay attention to the expiration date of the consumables and ensure that they are replaced and delivered to the Construction site on time. </t>
  </si>
  <si>
    <t>at site ??</t>
  </si>
  <si>
    <t xml:space="preserve">9.5. WORK PACKAGE section 7.5. Commissioning supervision, and supervision of preparation for 
start-up and during OPERATION TESTING 
The detailed scope of the SUBCONTRACTOR’S work on commissioning supervision, and supervision of preparation for commissioning and during OPERATION TESTING shall be determined by the SUBCONTRACTOR under the requirements of sections 7 and 8 (including clause 8.3) of this scope regarding that the labor force (builders, installers, inspectors, etc.) required to perform the physical work for the SUBCONTRACTOR’S WORKS (services) corresponding to this clause is provided by ANOTHER SUBCONTRACTOR (construction SUBCONTRACTOR). 
For the avoidance of doubt, the scope of services under this Section of the WORK PACKAGE includes the following works, but is not limited to them: 
 Supervision of preparation for Start-up operation; 
 Supervision during OPERATION TESTING; 
 Preparation, development, verification, and transfer of all necessary documentation specified in sections 7 and 8, including mobilization plans (where applicable); 
 Checks and inspections on the availability of all consumables, SP, temporary and permanent machines, as well as mechanisms that will be required during the commissioning, Start-up operation and OPERATION TESTING; 
 Appointment of managers for the specified scope of WORKS (services). </t>
  </si>
  <si>
    <t>Assistance for preecomm comm !!!</t>
  </si>
  <si>
    <t xml:space="preserve">Supplier shall manage sufficient training of Customer’s personnel to proper operation of the Package Unit 
Supplier shall provide training manuals that are specifically developed for the particular training, not typical guidelines. The need for training and the requirements for training the Customer’s personnel shall be specified when entering the contract, depending on the type of the supplied package unit. 
Supplier shall submit equipment operation parameters in order to simulate the operation of the plant on a digital training simulator of the facility. 
The detailed list of parameters is written in Technical requirements for Operator training
simulator GCC-MAC-PM-00000-IN-TSP-00018. </t>
  </si>
  <si>
    <t>As per licensor contract ?</t>
  </si>
  <si>
    <r>
      <t xml:space="preserve">Before ordering equipment, Supplier shall inform which spare parts required for uninterrupted service shall be recommended for the scope of supply indicated in the Requisition. 
The list of spare parts shall be confirmed by Customer. 
Supplier shall ensure spare parts for individual testing, pre/commissioning, complex testing,
warranty service period and capital spare parts.
</t>
    </r>
    <r>
      <rPr>
        <sz val="11"/>
        <color rgb="FFFF0000"/>
        <rFont val="Calibri"/>
        <family val="2"/>
        <scheme val="minor"/>
      </rPr>
      <t>Supplier shall include the list of 2 years spare parts in the technical offer, as option</t>
    </r>
    <r>
      <rPr>
        <sz val="11"/>
        <color theme="1"/>
        <rFont val="Calibri"/>
        <family val="2"/>
        <scheme val="minor"/>
      </rPr>
      <t>. 
../..</t>
    </r>
  </si>
  <si>
    <t>opk</t>
  </si>
  <si>
    <r>
      <t>5.6. WORK PACKAGE section 3.5. Logistics 
The SUBCONTRACTOR is responsible for organizing, coordinating,</t>
    </r>
    <r>
      <rPr>
        <sz val="11"/>
        <color rgb="FFFF0000"/>
        <rFont val="Calibri"/>
        <family val="2"/>
        <scheme val="minor"/>
      </rPr>
      <t xml:space="preserve"> and transporting the 
EQUIPMENT AND MATERIALS from the place of delivery</t>
    </r>
    <r>
      <rPr>
        <sz val="11"/>
        <color theme="1"/>
        <rFont val="Calibri"/>
        <family val="2"/>
        <scheme val="minor"/>
      </rPr>
      <t xml:space="preserve"> specified in purchase orders to the CONSTRUCTION SITE and/or off-site storage facilities in a way meeting the requirements of the PROJECT SCHEDULE at the SUBCONTRACTOR'S expense, including all direct and indirect costs. </t>
    </r>
    <r>
      <rPr>
        <sz val="11"/>
        <color rgb="FFFF0000"/>
        <rFont val="Calibri"/>
        <family val="2"/>
        <scheme val="minor"/>
      </rPr>
      <t>They include all services related to import, export, and obtaining the necessary permits, licenses, and documents. The vehicle shall be insured at the SUBCONTRACTOR'S expense</t>
    </r>
    <r>
      <rPr>
        <sz val="11"/>
        <color theme="1"/>
        <rFont val="Calibri"/>
        <family val="2"/>
        <scheme val="minor"/>
      </rPr>
      <t xml:space="preserve">. ../..movement of equipment and materials from the enterprise with loading to the CONSTRUCTION SITE and/or warehouse. 
if necessary, the SUBCONTRACTORS </t>
    </r>
    <r>
      <rPr>
        <sz val="11"/>
        <color rgb="FFFF0000"/>
        <rFont val="Calibri"/>
        <family val="2"/>
        <scheme val="minor"/>
      </rPr>
      <t xml:space="preserve">shall also provide a convoy. </t>
    </r>
    <r>
      <rPr>
        <sz val="11"/>
        <color theme="1"/>
        <rFont val="Calibri"/>
        <family val="2"/>
        <scheme val="minor"/>
      </rPr>
      <t xml:space="preserve">
The SUBCONTRACTOR shall act under international and APPLICABLE LEGISLATIONS 
on the transportation of equipment and materials, including obtaining permits. The SUBCONTRACTOR is responsible for compliance with the customs legislation of the EAEU and the countries of origin of equipment and materials. ../..
The SUBCONTRACTOR shall provide the CONTRACTOR with the following 28 days before the expected arrival (this list of necessary documents can be changed with the CONTRACTOR'S consent): 
 Technical passport; 
 List of deliverables; 
 Packing list, one hard copy and one electronic document in an editable Microsoft Excel format with the level of detail required by the CONTRACTOR up to individual small units and components; 
../..
 Electronic form TORG-12 in the editable Microsoft Excel format with the level of detail required by the CONTRACTOR up to individual small units and components; 
../..
 Material safety passports; 
 Cargo handling certificates (IPSM-15), if applicable; 
 Certificates of origin issued by the Chamber of Commerce and Industry of the country of origin; 
 Declarations and/or certificates of conformity with the technical requirements of the Customs Union required for import; 
 Export declarations; ../..
To provide the aforementioned documents within the specified term, the SUBCONTRACTOR may involve third-party organizations (transport companies, translation agencies, etc.) at his own expense. </t>
    </r>
  </si>
  <si>
    <t>???</t>
  </si>
  <si>
    <r>
      <t xml:space="preserve">5.6.1. Customs registration 
../..
The SUBCONTRACTOR shall ensure that the export, import, and customs clearance of all commodities and materials, temporary equipment, and CONSTRUCTION EQUIPMENT, if applicable, is efficient. </t>
    </r>
    <r>
      <rPr>
        <sz val="11"/>
        <color rgb="FFFF0000"/>
        <rFont val="Calibri"/>
        <family val="2"/>
        <scheme val="minor"/>
      </rPr>
      <t>All subcontracted services are governed by the CONTRACT in terms of taxation, customs duties, duties, and related costs. 
../.. The scheme and procedure for payment of the resulting customs VAT; ../..</t>
    </r>
  </si>
  <si>
    <t>transport</t>
  </si>
  <si>
    <r>
      <t>5.8. WORK PACKAGE section 3.7. Spare parts The SUBCONTRACTOR shall purchase and supply all spare parts and special tools at his own expense, ensure their availability at the CONSTRUCTION SITE and/or warehouse before the commissioning. Spare parts include spare parts for construction and commissioning, spare parts for major repairs, and a two-year supply of spare parts that shall meet the minimum requirements for SP.</t>
    </r>
    <r>
      <rPr>
        <sz val="11"/>
        <color rgb="FFFF0000"/>
        <rFont val="Calibri"/>
        <family val="2"/>
        <scheme val="minor"/>
      </rPr>
      <t xml:space="preserve"> This list may be revised on the SUPPLIER'S recommendation and upon agreement with the CONTRACTOR. </t>
    </r>
    <r>
      <rPr>
        <sz val="11"/>
        <color theme="1"/>
        <rFont val="Calibri"/>
        <family val="2"/>
        <scheme val="minor"/>
      </rPr>
      <t xml:space="preserve">
Until the spare parts are transferred to the CONTRACTOR for storage, the SUBCONTRACTOR shall ensure their storage and safety at his own expense. 
</t>
    </r>
    <r>
      <rPr>
        <sz val="11"/>
        <color rgb="FFFF0000"/>
        <rFont val="Calibri"/>
        <family val="2"/>
        <scheme val="minor"/>
      </rPr>
      <t>The SUBCONTRACTOR shall purchase special tools or devices that are required for equipment installation, adjustment, commissioning, operation, and maintenance and deliver them to the CONTRACTOR to CONSTRUCTION SITE and/or warehouse at his own expense</t>
    </r>
    <r>
      <rPr>
        <sz val="11"/>
        <color theme="1"/>
        <rFont val="Calibri"/>
        <family val="2"/>
        <scheme val="minor"/>
      </rPr>
      <t xml:space="preserve">. The SUPPLIER is responsible for obtaining regulatory approvals for the use of such devices (e.g., lifting devices), if necessary. </t>
    </r>
  </si>
  <si>
    <t xml:space="preserve">4.6. WORK PACKAGE section 2.6. FINAL PACKAGE DOCUMENTS (where applicable) 
Before submitting the FINAL PACKAGE DOCUMENTS, the SUBCONTRACTOR shall send the CONTRACTOR a List of the FINAL PACKAGE DOCUMENTS for APPROVAL through the ASSAI CONTRACTOR'S EDMS. THE FINAL PACKAGE DOCUMENTS is subject to APPROVAL by the CONTRACTOR under the procedure "Procedure for reviewing and approving Project design documentation" No.GCC-CC7-PM-00000-PE-PRO-00202. 
The FINAL PACKAGE DOCUMENTS shall include electronic and hard copies of the following 
documents: 
 Detail design documentation of SUBCONTRACTORS; 
 Documentation of SUBCONTRACTORS and SUPPLIERS, including equipment or model property maps. For this, the SUBCONTRACTOR shall ensure that the SUBCONTRACTORS and SUPPLIERS use electronic signature certificates applicable under the legislation of the Russian Federation; 
 Commissioning and operation documents (instructions, manuals, diagrams, etc., including documents from licensors); 
 Scanned copies of the as-built documentation with "red lines", stamps, and relevant documents supervised by the Author. 
The format of the final package of documents shall be as follows: 
 One (1) electronic copy (in searchable PDF format) with the cover page signed, for the latest 
editions. The last versions of documents shall be included in the FINAL PACKAGE DOCUMENTS; 
 All source files used to create the PDF documents, if technically possible. The image quality shall be at least 600 dpi; 
 If the original document format cannot reasonably be converted to an electronic one (for instance, some radiographic films), the document shall be delivered in a non-electronic native format only upon agreement with the CONTRACTOR on a case-by-case basis. This requirement does not apply to hard copies; 
 Two (2) copies (with seal and signature) of all original documents that shall be provided in hard copies under the legislation of the Russian Federation shall be submitted in hard copies (OPTION – see clause 2.2). 
../..
</t>
  </si>
  <si>
    <t>As built by others ??</t>
  </si>
  <si>
    <t>The SUBCONTRACTOR undertakes to provide the CONTRACTOR with offices and other premises during the WORKS, as well as other services IT, telephony, workplace equipment, PPE, etc. (not required when work at the YARD):
 ../..</t>
  </si>
  <si>
    <t>????</t>
  </si>
  <si>
    <r>
      <t>Federal Law No.123-FZ, SP 2.13130.2020, SP 4.13130.2013 - As per Ref (1) / 17 and in particular : GCC-CC7-PM-00000-CI-TSP-00005 chapt 7.1.2 and 9 : "t</t>
    </r>
    <r>
      <rPr>
        <sz val="11"/>
        <color rgb="FFFF0000"/>
        <rFont val="Calibri"/>
        <family val="2"/>
        <scheme val="minor"/>
      </rPr>
      <t>hin-layer and thick-layer expanded epoxy-based fire protection for external steel structures"</t>
    </r>
  </si>
  <si>
    <t xml:space="preserve">Supplier shall also advise about the need for fire and gas detection and alarm systems, and for firefighting systems. The fire protection system selected shall be reviewed and confirmed by Contractor / MAC in accordance with requirements of specification GCC-CC7-PM-00000-IN-TSP-00009. </t>
  </si>
  <si>
    <t>Texte</t>
  </si>
  <si>
    <t>spec titre</t>
  </si>
  <si>
    <t>ref</t>
  </si>
  <si>
    <t>lien</t>
  </si>
  <si>
    <t>chap</t>
  </si>
  <si>
    <t>page</t>
  </si>
  <si>
    <t>note</t>
  </si>
  <si>
    <t>Principe / pb</t>
  </si>
  <si>
    <t>item</t>
  </si>
  <si>
    <r>
      <rPr>
        <sz val="11"/>
        <color rgb="FFFF0000"/>
        <rFont val="Calibri"/>
        <family val="2"/>
        <scheme val="minor"/>
      </rPr>
      <t xml:space="preserve">The scope of WORK under the CONTRACT includes the execution of detailed design, cooperation with RDI (Russian Design Institute) and the provision of data for the preparation of DD by RDI for re-passing the audit of the RF State Expert Evaluation Department, the purchase and equipment delivery. </t>
    </r>
    <r>
      <rPr>
        <sz val="11"/>
        <color theme="1"/>
        <rFont val="Calibri"/>
        <family val="2"/>
        <scheme val="minor"/>
      </rPr>
      <t xml:space="preserve">
THE WORK shall be carried out in such a way that the FACILITY complies with the design solutions, is safe, efficient, reliable and easy to use, as described in the relevant sections of the INPUT DATA and GUARANTEED INDICATORS and the PROJECT is completed within the timeframe specified in the SCHEDULE OF WORKS. 
The General layout of the plant is presented in the INPUT DATA. 
The list of facilities and systems of Project 2.2 is provided in the INPUT DATA in the corresponding document Title List (refer to Attachment 1 to Annex 1). At the phase of Detail design documentation development, the Title List may be revised by agreement with the CONTRACTOR in accordance with the requirements and procedure provided for by the “Procedure of Title list management” No. GCC-CC7-PM-00000-PE-PRO-00213. The Title List does not limit the scope of SUBCONTRACTOR work but indicates the hierarchical structure of the Project 2.2. If any facility or system is not listed in the Title List, the SUBCONTRACTOR shall update it in the manner prescribed by the above procedure. 
The scope of work under the CONTRACT regarding the execution of automation and communication systems is specified in Annex No.7 to Scope of Work. 
SUBCONTRACTOR prepares The List of Deliverables and provides it on CONTRACTOR’S APPROVAL, which includes SUBCONTRACTOR’s and SUBSUBCONTRACTOR’s documents register, the list of operational documentation and other documents, which will be in DDD package and FINAL PACKAGE DOCUMENTS. The list of works results will become an Attachment to CONTRACT after CONTRACTOR APPROVAL. </t>
    </r>
  </si>
  <si>
    <t>Deviation Clarification</t>
  </si>
  <si>
    <t>Clarif</t>
  </si>
  <si>
    <r>
      <t xml:space="preserve">The SUBCONTRACTOR ensures the purchase, delivery and customs clearance of equipment and materials to the CONSTRUCTION SITE in accordance with the scope of work of the SUBCONTRACTOR and the Purchasing Division Matrix (Annex No. 5). 
The CONTRACTOR concludes contracts with the LLE suppliers. CONTRACTOR shall not novate these contracts to the SUBCONTRACTOR. The scope of work of the SUBCONTRACTOR and their area of responsibility under these contracts includes obtaining a package of engineering documentation from the LLE SUPPLIER for the development of DETAIL DESIGN DOCUMENTATION ensuring and testing at the production site of the SUPPLIER. Delivery and customs clearance of LLE are not included in the scope of work of the SUBCONTRACTOR.  
1.6.3. Large-unit assembly 
Large-unit assembly of the FACILITY is performed at the YARD OF THE SUBCONTRACTOR or SUBSUBCONTRACTOR. The Large-unit assembly results is PACKAGES. The SUBCONTRACTOR shall carry out the maximum possible amount of work on the assembly, pre-commissioning of PACKAGES at the YARD including laying cables and checking the control loops of the process control system to minimize work on the CONSTRUCTION SITE. Large-unit assembly strategy and schedule shall be based on the philosophy of bringing PACKAGES to maximum mechanical completion with further installation and connection at the CONSTRUCTION SITE. The production schedule of PACKAGES is a key aspect of the PROJECT execution; </t>
    </r>
    <r>
      <rPr>
        <sz val="11"/>
        <color rgb="FFFF0000"/>
        <rFont val="Calibri"/>
        <family val="2"/>
        <scheme val="minor"/>
      </rPr>
      <t xml:space="preserve">therefore, the SUBCONTRACTOR shall ensure the timely manufacture, delivery, and installation of PACKAGES at the CONSTRUCTION SITE strictly in accordance with the sequence of installation of PACKAGES at the CONSTRUCTION SITE. 
SUBCONTRACTOR will perform the supervision during PACKAGES installation on the CONTRACTOR’s CONSTRUCTION SITE including Pre-commissioning up to the MECHANICAL COMPLETION. 
SUBCONTRACTOR will perform the supervision of commissioning and other WORKS in accordance with section 9.5. </t>
    </r>
  </si>
  <si>
    <t>Standard at unit level</t>
  </si>
  <si>
    <t>ds offre technique</t>
  </si>
  <si>
    <t>noté</t>
  </si>
  <si>
    <r>
      <t xml:space="preserve">11.1. Package unit isolation   ../..
11.2. Pressure safety valve arrangement  ../..
11.3. Accessibility for skid-mounted package units and sub items
Package arrangement shall be designed to allow the following human access clearance: 2.0 m heigh and 0.8 m width. 
../..
Permanent access shall be provided by the Supplier to the extent indicated below: (instrumetns, vannes...) ../..
The final number and arrangement of access by means of walkways, platforms or ladders will be subject to review by the Subcontractor during the 3D model review, to ensure that the most effective layout for operation and maintenance is achieved for the package. 
</t>
    </r>
    <r>
      <rPr>
        <sz val="11"/>
        <color rgb="FFFF0000"/>
        <rFont val="Calibri"/>
        <family val="2"/>
        <scheme val="minor"/>
      </rPr>
      <t xml:space="preserve">Escape ways shall be free of any obstacle. Indication of Escape ways should be according to GOST 12.4.026-2015. 
</t>
    </r>
    <r>
      <rPr>
        <sz val="11"/>
        <rFont val="Calibri"/>
        <family val="2"/>
        <scheme val="minor"/>
      </rPr>
      <t xml:space="preserve">11.4. Maintenance requirements
../.. voir le chapitre
 Supplier shall provide relevant special tools if needed to ensure removal and refill of media ../..
</t>
    </r>
    <r>
      <rPr>
        <sz val="12"/>
        <color rgb="FFFF0000"/>
        <rFont val="Calibri"/>
        <family val="2"/>
        <scheme val="minor"/>
      </rPr>
      <t>removable bundle, requiring maintenance are mounted within a skidded package, such that free access from external mobile lifting equipment is not achievable, the Supplier shall include permanent handling facilities for removal of these elements.</t>
    </r>
    <r>
      <rPr>
        <sz val="11"/>
        <rFont val="Calibri"/>
        <family val="2"/>
        <scheme val="minor"/>
      </rPr>
      <t xml:space="preserve">
This requirement shall apply when the weight of any single component to be removed or handled</t>
    </r>
    <r>
      <rPr>
        <sz val="11"/>
        <color rgb="FFFF0000"/>
        <rFont val="Calibri"/>
        <family val="2"/>
        <scheme val="minor"/>
      </rPr>
      <t xml:space="preserve"> exceeds 25 kg. </t>
    </r>
    <r>
      <rPr>
        <sz val="11"/>
        <rFont val="Calibri"/>
        <family val="2"/>
        <scheme val="minor"/>
      </rPr>
      <t>../....will be needed for the design and purchase of the considered lifting devices. Permanent hoist, if required by Lifting machines and structures Specification GCC-CC7-PM-00000-PI-TSP-00006 shall be supply, tested and installed by Supplier.</t>
    </r>
    <r>
      <rPr>
        <sz val="11"/>
        <color rgb="FFFF0000"/>
        <rFont val="Calibri"/>
        <family val="2"/>
        <scheme val="minor"/>
      </rPr>
      <t xml:space="preserve"> ../..</t>
    </r>
  </si>
  <si>
    <t>../.. The List of Deliverables shall contain the following documents including as specified in item 4.2.4.5: 
- List of emissions; 
- List of wastewater flows; 
- List of wastes; 
- Noise analysis. 
Technical solutions should ensure the minimization of emissions into the environment - emissions, discharges, generated waste, etc. and correspond to the applicable best available techniques (BAT) adopted in the Russian Federation; emission parameters should comply 
(not exceed) to the technological indicators of the applicable BATs adopted in the Russian Federation. ../...</t>
  </si>
  <si>
    <t>j'oublie…</t>
  </si>
  <si>
    <t>ok</t>
  </si>
  <si>
    <t>ds offre commerciale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</si>
</sst>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1">
    <font>
      <sz val="11"/>
      <color theme="1"/>
      <name val="Calibri"/>
      <family val="2"/>
      <scheme val="minor"/>
    </font>
    <font>
      <sz val="11"/>
      <color rgb="FFFF0000"/>
      <name val="Calibri"/>
      <family val="2"/>
      <scheme val="minor"/>
    </font>
    <font>
      <b/>
      <sz val="16"/>
      <color theme="1"/>
      <name val="Calibri"/>
      <family val="2"/>
      <scheme val="minor"/>
    </font>
    <font>
      <b/>
      <u/>
      <sz val="12"/>
      <color theme="1"/>
      <name val="Calibri"/>
      <family val="2"/>
      <scheme val="minor"/>
    </font>
    <font>
      <u/>
      <sz val="11"/>
      <color theme="10"/>
      <name val="Calibri"/>
      <family val="2"/>
      <scheme val="minor"/>
    </font>
    <font>
      <sz val="10"/>
      <color theme="1"/>
      <name val="Calibri"/>
      <family val="2"/>
      <scheme val="minor"/>
    </font>
    <font>
      <b/>
      <sz val="14"/>
      <color rgb="FFFF0000"/>
      <name val="Calibri"/>
      <family val="2"/>
      <scheme val="minor"/>
    </font>
    <font>
      <b/>
      <u/>
      <sz val="12"/>
      <color rgb="FFFF0000"/>
      <name val="Calibri"/>
      <family val="2"/>
      <scheme val="minor"/>
    </font>
    <font>
      <b/>
      <sz val="11"/>
      <color theme="1"/>
      <name val="Calibri"/>
      <family val="2"/>
      <scheme val="minor"/>
    </font>
    <font>
      <b/>
      <sz val="12"/>
      <color theme="1"/>
      <name val="Times New Roman"/>
      <family val="1"/>
    </font>
    <font>
      <sz val="12"/>
      <color rgb="FF000000"/>
      <name val="Times New Roman"/>
      <family val="1"/>
    </font>
    <font>
      <sz val="12"/>
      <name val="Times New Roman"/>
      <family val="1"/>
    </font>
    <font>
      <sz val="12"/>
      <color theme="1"/>
      <name val="Times New Roman"/>
      <family val="1"/>
    </font>
    <font>
      <sz val="11"/>
      <name val="Calibri"/>
      <family val="2"/>
      <scheme val="minor"/>
    </font>
    <font>
      <b/>
      <sz val="11"/>
      <name val="Calibri"/>
      <family val="2"/>
      <scheme val="minor"/>
    </font>
    <font>
      <b/>
      <sz val="12"/>
      <name val="Calibri"/>
      <family val="2"/>
      <scheme val="minor"/>
    </font>
    <font>
      <u/>
      <sz val="11"/>
      <color theme="1"/>
      <name val="Calibri"/>
      <family val="2"/>
      <scheme val="minor"/>
    </font>
    <font>
      <b/>
      <sz val="14"/>
      <color theme="1"/>
      <name val="Calibri"/>
      <family val="2"/>
      <scheme val="minor"/>
    </font>
    <font>
      <b/>
      <i/>
      <sz val="14"/>
      <color theme="1"/>
      <name val="Calibri"/>
      <family val="2"/>
      <scheme val="minor"/>
    </font>
    <font>
      <sz val="11"/>
      <color theme="1"/>
      <name val="Times New Roman"/>
      <family val="1"/>
    </font>
    <font>
      <b/>
      <sz val="12"/>
      <color theme="1"/>
      <name val="Calibri"/>
      <family val="2"/>
      <scheme val="minor"/>
    </font>
    <font>
      <strike/>
      <sz val="11"/>
      <color theme="1"/>
      <name val="Calibri"/>
      <family val="2"/>
      <scheme val="minor"/>
    </font>
    <font>
      <sz val="10"/>
      <color theme="1"/>
      <name val="Times New Roman"/>
      <family val="1"/>
    </font>
    <font>
      <sz val="13"/>
      <color theme="1"/>
      <name val="Times New Roman"/>
      <family val="1"/>
    </font>
    <font>
      <b/>
      <sz val="10.5"/>
      <color theme="1"/>
      <name val="Times New Roman"/>
      <family val="1"/>
    </font>
    <font>
      <sz val="10.5"/>
      <color theme="1"/>
      <name val="Times New Roman"/>
      <family val="1"/>
    </font>
    <font>
      <b/>
      <sz val="13"/>
      <color theme="1"/>
      <name val="Times New Roman"/>
      <family val="1"/>
    </font>
    <font>
      <sz val="6.5"/>
      <color theme="1"/>
      <name val="Times New Roman"/>
      <family val="1"/>
    </font>
    <font>
      <b/>
      <sz val="10"/>
      <color theme="1"/>
      <name val="Times New Roman"/>
      <family val="1"/>
    </font>
    <font>
      <vertAlign val="superscript"/>
      <sz val="10"/>
      <color theme="1"/>
      <name val="Times New Roman"/>
      <family val="1"/>
    </font>
    <font>
      <sz val="4"/>
      <color theme="1"/>
      <name val="Times New Roman"/>
      <family val="1"/>
    </font>
    <font>
      <b/>
      <sz val="14"/>
      <color theme="1"/>
      <name val="Times New Roman"/>
      <family val="1"/>
    </font>
    <font>
      <b/>
      <sz val="12"/>
      <color rgb="FF1F1F26"/>
      <name val="Times New Roman"/>
      <family val="1"/>
    </font>
    <font>
      <vertAlign val="superscript"/>
      <sz val="12"/>
      <color theme="1"/>
      <name val="Times New Roman"/>
      <family val="1"/>
    </font>
    <font>
      <sz val="14"/>
      <color theme="1"/>
      <name val="Calibri"/>
      <family val="2"/>
      <scheme val="minor"/>
    </font>
    <font>
      <sz val="14"/>
      <color theme="1"/>
      <name val="Times New Roman"/>
      <family val="1"/>
    </font>
    <font>
      <sz val="8"/>
      <color rgb="FFFF0000"/>
      <name val="Times New Roman"/>
      <family val="1"/>
    </font>
    <font>
      <b/>
      <sz val="10"/>
      <color theme="1"/>
      <name val="Calibri"/>
      <family val="2"/>
      <scheme val="minor"/>
    </font>
    <font>
      <sz val="10"/>
      <name val="Calibri"/>
      <family val="2"/>
      <scheme val="minor"/>
    </font>
    <font>
      <sz val="10"/>
      <color rgb="FF000000"/>
      <name val="Calibri"/>
      <family val="2"/>
      <scheme val="minor"/>
    </font>
    <font>
      <u/>
      <sz val="10"/>
      <color theme="10"/>
      <name val="Calibri"/>
      <family val="2"/>
      <scheme val="minor"/>
    </font>
    <font>
      <b/>
      <sz val="10"/>
      <color rgb="FF1F1F26"/>
      <name val="Calibri"/>
      <family val="2"/>
      <scheme val="minor"/>
    </font>
    <font>
      <sz val="10"/>
      <color rgb="FF2B2A29"/>
      <name val="Calibri"/>
      <family val="2"/>
      <scheme val="minor"/>
    </font>
    <font>
      <u/>
      <sz val="10"/>
      <name val="Calibri"/>
      <family val="2"/>
      <scheme val="minor"/>
    </font>
    <font>
      <sz val="10"/>
      <color rgb="FFFF0000"/>
      <name val="Calibri"/>
      <family val="2"/>
      <scheme val="minor"/>
    </font>
    <font>
      <i/>
      <sz val="10"/>
      <color rgb="FFFF0000"/>
      <name val="Calibri"/>
      <family val="2"/>
      <scheme val="minor"/>
    </font>
    <font>
      <sz val="11"/>
      <color rgb="FF000000"/>
      <name val="Times New Roman"/>
      <family val="1"/>
    </font>
    <font>
      <b/>
      <u/>
      <sz val="12"/>
      <color theme="4" tint="-0.249977111117893"/>
      <name val="Calibri"/>
      <family val="2"/>
      <scheme val="minor"/>
    </font>
    <font>
      <b/>
      <sz val="10"/>
      <color rgb="FF000000"/>
      <name val="Times New Roman"/>
      <family val="1"/>
    </font>
    <font>
      <sz val="10"/>
      <color rgb="FF000000"/>
      <name val="Times New Roman"/>
      <family val="1"/>
    </font>
    <font>
      <b/>
      <sz val="14"/>
      <color theme="1"/>
      <name val="Calibri"/>
      <family val="2"/>
    </font>
    <font>
      <sz val="12"/>
      <color rgb="FF000000"/>
      <name val="Calibri"/>
      <family val="2"/>
    </font>
    <font>
      <b/>
      <sz val="12"/>
      <color rgb="FF000000"/>
      <name val="Times New Roman"/>
      <family val="1"/>
    </font>
    <font>
      <sz val="11.5"/>
      <color rgb="FF000000"/>
      <name val="Arial???????"/>
    </font>
    <font>
      <sz val="14"/>
      <color rgb="FFFF0000"/>
      <name val="Calibri"/>
      <family val="2"/>
      <scheme val="minor"/>
    </font>
    <font>
      <sz val="12"/>
      <color rgb="FFFF0000"/>
      <name val="Calibri"/>
      <family val="2"/>
      <scheme val="minor"/>
    </font>
    <font>
      <sz val="12"/>
      <name val="Calibri"/>
      <family val="2"/>
      <scheme val="minor"/>
    </font>
    <font>
      <b/>
      <sz val="10"/>
      <color rgb="FFFF0000"/>
      <name val="Calibri"/>
      <family val="2"/>
      <scheme val="minor"/>
    </font>
    <font>
      <sz val="10"/>
      <color rgb="FF000000"/>
      <name val="Arial"/>
      <family val="2"/>
    </font>
    <font>
      <sz val="16"/>
      <color rgb="FFFF0000"/>
      <name val="Calibri"/>
      <family val="2"/>
      <scheme val="minor"/>
    </font>
    <font>
      <b/>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92D050"/>
        <bgColor indexed="64"/>
      </patternFill>
    </fill>
    <fill>
      <patternFill patternType="solid">
        <fgColor indexed="9"/>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2F2F2"/>
        <bgColor indexed="64"/>
      </patternFill>
    </fill>
    <fill>
      <patternFill patternType="solid">
        <fgColor rgb="FFFF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8"/>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10"/>
      </left>
      <right style="thin">
        <color indexed="10"/>
      </right>
      <top style="thin">
        <color indexed="8"/>
      </top>
      <bottom/>
      <diagonal/>
    </border>
  </borders>
  <cellStyleXfs count="2">
    <xf numFmtId="0" fontId="0" fillId="0" borderId="0"/>
    <xf numFmtId="0" fontId="4" fillId="0" borderId="0" applyNumberFormat="0" applyFill="0" applyBorder="0" applyAlignment="0" applyProtection="0"/>
  </cellStyleXfs>
  <cellXfs count="261">
    <xf numFmtId="0" fontId="0" fillId="0" borderId="0" xfId="0"/>
    <xf numFmtId="0" fontId="5" fillId="5" borderId="1" xfId="0" applyFont="1" applyFill="1" applyBorder="1" applyAlignment="1">
      <alignment vertical="top" wrapText="1"/>
    </xf>
    <xf numFmtId="0" fontId="0" fillId="0" borderId="1" xfId="0" applyBorder="1" applyAlignment="1">
      <alignment horizontal="left" vertical="top" wrapText="1"/>
    </xf>
    <xf numFmtId="9" fontId="0" fillId="0" borderId="0" xfId="0" applyNumberFormat="1"/>
    <xf numFmtId="0" fontId="9" fillId="0" borderId="1" xfId="0" applyFont="1" applyBorder="1" applyAlignment="1">
      <alignment horizontal="center" vertical="center" wrapText="1"/>
    </xf>
    <xf numFmtId="0" fontId="12" fillId="0" borderId="1" xfId="0" applyFont="1" applyBorder="1" applyAlignment="1">
      <alignment horizontal="justify" vertical="center" wrapText="1"/>
    </xf>
    <xf numFmtId="0" fontId="12" fillId="0" borderId="1" xfId="0" applyFont="1" applyBorder="1" applyAlignment="1">
      <alignment vertical="center" wrapText="1"/>
    </xf>
    <xf numFmtId="0" fontId="0" fillId="0" borderId="1" xfId="0" applyBorder="1" applyAlignment="1">
      <alignment vertical="top" wrapText="1"/>
    </xf>
    <xf numFmtId="0" fontId="2" fillId="0" borderId="1" xfId="0" applyFont="1" applyBorder="1" applyAlignment="1">
      <alignment horizontal="left" vertical="top" wrapText="1"/>
    </xf>
    <xf numFmtId="0" fontId="0" fillId="4" borderId="1" xfId="0" applyFill="1" applyBorder="1" applyAlignment="1">
      <alignment vertical="top" wrapText="1"/>
    </xf>
    <xf numFmtId="0" fontId="0" fillId="3" borderId="1" xfId="0" applyFill="1" applyBorder="1" applyAlignment="1">
      <alignment vertical="top" wrapText="1"/>
    </xf>
    <xf numFmtId="0" fontId="0" fillId="6" borderId="1" xfId="0" applyFill="1" applyBorder="1" applyAlignment="1">
      <alignment vertical="top" wrapText="1"/>
    </xf>
    <xf numFmtId="0" fontId="5" fillId="5" borderId="1" xfId="0" applyFont="1" applyFill="1" applyBorder="1" applyAlignment="1">
      <alignment vertical="top"/>
    </xf>
    <xf numFmtId="0" fontId="4" fillId="5" borderId="1" xfId="1" applyFill="1" applyBorder="1" applyAlignment="1">
      <alignment vertical="top"/>
    </xf>
    <xf numFmtId="0" fontId="0" fillId="0" borderId="1" xfId="0" applyBorder="1" applyAlignment="1">
      <alignment horizontal="right" vertical="top" wrapText="1"/>
    </xf>
    <xf numFmtId="0" fontId="0" fillId="0" borderId="1" xfId="0" applyBorder="1" applyAlignment="1">
      <alignment vertical="top"/>
    </xf>
    <xf numFmtId="0" fontId="0" fillId="0" borderId="1" xfId="0" applyFill="1" applyBorder="1" applyAlignment="1">
      <alignment vertical="top" wrapText="1"/>
    </xf>
    <xf numFmtId="0" fontId="0" fillId="0" borderId="1" xfId="0" applyFill="1" applyBorder="1" applyAlignment="1">
      <alignment horizontal="left" vertical="top" wrapText="1"/>
    </xf>
    <xf numFmtId="0" fontId="0" fillId="2" borderId="1" xfId="0" applyFill="1" applyBorder="1" applyAlignment="1">
      <alignment horizontal="left" vertical="top" wrapText="1"/>
    </xf>
    <xf numFmtId="0" fontId="3" fillId="2"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1" fillId="7" borderId="1" xfId="0" applyFont="1" applyFill="1" applyBorder="1" applyAlignment="1">
      <alignment horizontal="left" vertical="top" wrapText="1"/>
    </xf>
    <xf numFmtId="17" fontId="0" fillId="0" borderId="1" xfId="0" applyNumberFormat="1" applyFill="1" applyBorder="1" applyAlignment="1">
      <alignment horizontal="left" vertical="top" wrapText="1"/>
    </xf>
    <xf numFmtId="0" fontId="5" fillId="5" borderId="1" xfId="0" applyFont="1" applyFill="1" applyBorder="1" applyAlignment="1">
      <alignment horizontal="left" vertical="top" wrapText="1"/>
    </xf>
    <xf numFmtId="0" fontId="4" fillId="5" borderId="1" xfId="1" applyFill="1" applyBorder="1" applyAlignment="1">
      <alignment horizontal="center" vertical="top" wrapText="1"/>
    </xf>
    <xf numFmtId="0" fontId="5" fillId="5" borderId="1" xfId="0" quotePrefix="1" applyFont="1" applyFill="1" applyBorder="1" applyAlignment="1">
      <alignment horizontal="left" vertical="top" wrapText="1"/>
    </xf>
    <xf numFmtId="0" fontId="0" fillId="0" borderId="1" xfId="0" quotePrefix="1" applyFill="1" applyBorder="1" applyAlignment="1">
      <alignment horizontal="left" vertical="top" wrapText="1"/>
    </xf>
    <xf numFmtId="0" fontId="4" fillId="0" borderId="1" xfId="1" applyFill="1" applyBorder="1" applyAlignment="1">
      <alignment horizontal="center" vertical="top"/>
    </xf>
    <xf numFmtId="0" fontId="4" fillId="5" borderId="1" xfId="1" applyFill="1" applyBorder="1" applyAlignment="1">
      <alignment horizontal="left" vertical="top" wrapText="1"/>
    </xf>
    <xf numFmtId="9" fontId="0" fillId="0" borderId="1" xfId="0" applyNumberFormat="1" applyBorder="1" applyAlignment="1">
      <alignment horizontal="left" vertical="top" wrapText="1"/>
    </xf>
    <xf numFmtId="0" fontId="0" fillId="0" borderId="1" xfId="0" applyFont="1" applyBorder="1" applyAlignment="1">
      <alignment horizontal="left" vertical="top" wrapText="1"/>
    </xf>
    <xf numFmtId="0" fontId="0" fillId="0" borderId="1" xfId="0" applyBorder="1" applyAlignment="1">
      <alignment horizontal="center" vertical="top" wrapText="1"/>
    </xf>
    <xf numFmtId="0" fontId="2" fillId="0" borderId="1" xfId="0" applyFont="1" applyBorder="1" applyAlignment="1">
      <alignment horizontal="center" vertical="top" wrapText="1"/>
    </xf>
    <xf numFmtId="0" fontId="1" fillId="2" borderId="1" xfId="0" applyFont="1" applyFill="1" applyBorder="1" applyAlignment="1">
      <alignment vertical="top" wrapText="1"/>
    </xf>
    <xf numFmtId="0" fontId="15" fillId="9" borderId="1" xfId="0" applyFont="1" applyFill="1" applyBorder="1" applyAlignment="1">
      <alignment horizontal="center" vertical="top" wrapText="1"/>
    </xf>
    <xf numFmtId="0" fontId="19" fillId="0" borderId="0" xfId="0" applyFont="1" applyAlignment="1">
      <alignment horizontal="justify" vertical="center" wrapText="1"/>
    </xf>
    <xf numFmtId="0" fontId="8" fillId="0" borderId="1" xfId="0" applyFont="1" applyBorder="1" applyAlignment="1">
      <alignment horizontal="left" vertical="top" wrapText="1"/>
    </xf>
    <xf numFmtId="0" fontId="0" fillId="11" borderId="1" xfId="0" applyFill="1" applyBorder="1" applyAlignment="1">
      <alignment horizontal="left" vertical="top" wrapText="1"/>
    </xf>
    <xf numFmtId="0" fontId="0" fillId="12" borderId="1" xfId="0" applyFill="1" applyBorder="1" applyAlignment="1">
      <alignment horizontal="left" vertical="top" wrapText="1"/>
    </xf>
    <xf numFmtId="0" fontId="0" fillId="0" borderId="0" xfId="0" applyAlignment="1">
      <alignment wrapText="1"/>
    </xf>
    <xf numFmtId="0" fontId="5" fillId="5" borderId="7" xfId="0" applyFont="1" applyFill="1" applyBorder="1" applyAlignment="1">
      <alignment vertical="top"/>
    </xf>
    <xf numFmtId="0" fontId="4" fillId="5" borderId="8" xfId="1" applyFill="1" applyBorder="1" applyAlignment="1">
      <alignment vertical="top"/>
    </xf>
    <xf numFmtId="0" fontId="23" fillId="0" borderId="0" xfId="0"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26" fillId="0" borderId="0" xfId="0" applyFont="1" applyAlignment="1">
      <alignment vertical="center" wrapText="1"/>
    </xf>
    <xf numFmtId="0" fontId="25" fillId="0" borderId="0" xfId="0" applyFont="1" applyAlignment="1">
      <alignment horizontal="justify" vertical="center" wrapText="1"/>
    </xf>
    <xf numFmtId="0" fontId="0" fillId="0" borderId="0" xfId="0" applyAlignment="1">
      <alignment vertical="top" wrapText="1"/>
    </xf>
    <xf numFmtId="0" fontId="12" fillId="0" borderId="0" xfId="0" applyFont="1" applyAlignment="1">
      <alignment vertical="center"/>
    </xf>
    <xf numFmtId="0" fontId="28" fillId="0" borderId="3" xfId="0" applyFont="1" applyBorder="1" applyAlignment="1">
      <alignment vertical="center"/>
    </xf>
    <xf numFmtId="0" fontId="28" fillId="0" borderId="5" xfId="0" applyFont="1" applyBorder="1" applyAlignment="1">
      <alignment vertical="center"/>
    </xf>
    <xf numFmtId="0" fontId="22" fillId="0" borderId="4" xfId="0" applyFont="1" applyBorder="1" applyAlignment="1">
      <alignment vertical="center"/>
    </xf>
    <xf numFmtId="0" fontId="22" fillId="0" borderId="6" xfId="0" applyFont="1" applyBorder="1" applyAlignment="1">
      <alignment vertical="center"/>
    </xf>
    <xf numFmtId="0" fontId="30" fillId="0" borderId="0" xfId="0" applyFont="1" applyAlignment="1">
      <alignment vertical="center"/>
    </xf>
    <xf numFmtId="0" fontId="31" fillId="0" borderId="0" xfId="0" applyFont="1" applyAlignment="1">
      <alignment vertical="center" wrapText="1"/>
    </xf>
    <xf numFmtId="0" fontId="32" fillId="0" borderId="0" xfId="0" applyFont="1" applyAlignment="1">
      <alignment vertical="center" wrapText="1"/>
    </xf>
    <xf numFmtId="0" fontId="12" fillId="0" borderId="0" xfId="0" applyFont="1" applyAlignment="1">
      <alignment horizontal="justify" vertical="center" wrapText="1"/>
    </xf>
    <xf numFmtId="0" fontId="10" fillId="0" borderId="0" xfId="0" applyFont="1" applyAlignment="1">
      <alignment horizontal="justify" vertical="center" wrapText="1"/>
    </xf>
    <xf numFmtId="0" fontId="0" fillId="0" borderId="0" xfId="0" applyFill="1" applyBorder="1" applyAlignment="1">
      <alignment horizontal="left" vertical="top" wrapText="1"/>
    </xf>
    <xf numFmtId="0" fontId="0" fillId="0" borderId="7" xfId="0" applyFill="1" applyBorder="1" applyAlignment="1">
      <alignment horizontal="left" vertical="top" wrapText="1"/>
    </xf>
    <xf numFmtId="0" fontId="0" fillId="0" borderId="2" xfId="0" applyFill="1" applyBorder="1" applyAlignment="1">
      <alignment horizontal="left" vertical="top" wrapText="1"/>
    </xf>
    <xf numFmtId="0" fontId="0" fillId="0" borderId="0" xfId="0" applyFont="1"/>
    <xf numFmtId="0" fontId="0" fillId="0" borderId="0" xfId="0" applyFont="1" applyAlignment="1">
      <alignment wrapText="1"/>
    </xf>
    <xf numFmtId="0" fontId="0" fillId="0" borderId="1" xfId="0" applyFont="1" applyBorder="1"/>
    <xf numFmtId="0" fontId="34" fillId="0" borderId="1" xfId="0" applyFont="1" applyBorder="1" applyAlignment="1">
      <alignment horizontal="center" vertical="center"/>
    </xf>
    <xf numFmtId="0" fontId="35" fillId="0" borderId="1" xfId="0" applyFont="1" applyBorder="1" applyAlignment="1">
      <alignment horizontal="center" vertical="center" wrapText="1"/>
    </xf>
    <xf numFmtId="0" fontId="12" fillId="12" borderId="1" xfId="0" applyFont="1" applyFill="1" applyBorder="1" applyAlignment="1">
      <alignment horizontal="justify" vertical="center" wrapText="1"/>
    </xf>
    <xf numFmtId="0" fontId="0" fillId="8" borderId="1" xfId="0" applyFont="1" applyFill="1" applyBorder="1"/>
    <xf numFmtId="0" fontId="0" fillId="12" borderId="1" xfId="0" applyFont="1" applyFill="1" applyBorder="1"/>
    <xf numFmtId="0" fontId="2" fillId="13" borderId="1" xfId="0" applyFont="1" applyFill="1" applyBorder="1" applyAlignment="1">
      <alignment horizontal="center" vertical="center"/>
    </xf>
    <xf numFmtId="0" fontId="10" fillId="0" borderId="0" xfId="0" applyFont="1" applyAlignment="1">
      <alignment horizontal="center" vertical="center" wrapText="1"/>
    </xf>
    <xf numFmtId="0" fontId="0" fillId="0" borderId="0" xfId="0" applyAlignment="1">
      <alignment horizontal="center" vertical="center"/>
    </xf>
    <xf numFmtId="9" fontId="0" fillId="0" borderId="0" xfId="0" applyNumberFormat="1" applyAlignment="1">
      <alignment horizontal="center" vertical="center"/>
    </xf>
    <xf numFmtId="0" fontId="1" fillId="2" borderId="0" xfId="0" applyFont="1" applyFill="1" applyAlignment="1">
      <alignment horizontal="center" vertical="center"/>
    </xf>
    <xf numFmtId="0" fontId="36" fillId="2" borderId="1" xfId="0" applyFont="1" applyFill="1" applyBorder="1" applyAlignment="1">
      <alignment horizontal="center" vertical="center"/>
    </xf>
    <xf numFmtId="0" fontId="1" fillId="0" borderId="0" xfId="0" applyFont="1" applyFill="1" applyAlignment="1">
      <alignment horizontal="center" vertical="center"/>
    </xf>
    <xf numFmtId="0" fontId="36" fillId="0" borderId="0" xfId="0" applyFont="1" applyFill="1" applyBorder="1" applyAlignment="1">
      <alignment horizontal="center" vertical="center"/>
    </xf>
    <xf numFmtId="0" fontId="0" fillId="0" borderId="0" xfId="0" applyFill="1" applyAlignment="1">
      <alignment horizontal="center" vertical="center"/>
    </xf>
    <xf numFmtId="0" fontId="1" fillId="9" borderId="0" xfId="0" applyFont="1" applyFill="1" applyAlignment="1">
      <alignment horizontal="center" vertical="center"/>
    </xf>
    <xf numFmtId="0" fontId="11" fillId="0" borderId="0" xfId="0" applyFont="1" applyAlignment="1">
      <alignment horizontal="justify" vertical="center" wrapText="1"/>
    </xf>
    <xf numFmtId="0" fontId="12" fillId="0" borderId="0" xfId="0" applyFont="1" applyAlignment="1">
      <alignment vertical="center" wrapText="1"/>
    </xf>
    <xf numFmtId="0" fontId="9" fillId="0" borderId="0" xfId="0" applyFont="1"/>
    <xf numFmtId="0" fontId="18" fillId="0" borderId="0" xfId="0" applyFont="1" applyAlignment="1">
      <alignment horizontal="left" vertical="top"/>
    </xf>
    <xf numFmtId="0" fontId="9" fillId="0" borderId="1" xfId="0" applyFont="1" applyBorder="1" applyAlignment="1">
      <alignment horizontal="left" vertical="top" wrapText="1"/>
    </xf>
    <xf numFmtId="0" fontId="0" fillId="0" borderId="0" xfId="0" applyAlignment="1">
      <alignment horizontal="left" vertical="top"/>
    </xf>
    <xf numFmtId="0" fontId="5" fillId="5" borderId="8" xfId="0" quotePrefix="1" applyFont="1" applyFill="1" applyBorder="1" applyAlignment="1">
      <alignment vertical="top"/>
    </xf>
    <xf numFmtId="0" fontId="5" fillId="5" borderId="8" xfId="0" applyFont="1" applyFill="1" applyBorder="1" applyAlignment="1">
      <alignment vertical="top"/>
    </xf>
    <xf numFmtId="0" fontId="9" fillId="0" borderId="0" xfId="0" applyFont="1" applyBorder="1" applyAlignment="1">
      <alignment horizontal="center" vertical="center" wrapText="1"/>
    </xf>
    <xf numFmtId="0" fontId="12" fillId="0" borderId="0" xfId="0" applyFont="1" applyBorder="1" applyAlignment="1">
      <alignment horizontal="left" vertical="center" wrapText="1"/>
    </xf>
    <xf numFmtId="0" fontId="11" fillId="0" borderId="0" xfId="0" applyFont="1" applyBorder="1" applyAlignment="1">
      <alignment horizontal="justify" vertical="center" wrapText="1"/>
    </xf>
    <xf numFmtId="0" fontId="11" fillId="0" borderId="0" xfId="0" applyFont="1" applyBorder="1" applyAlignment="1">
      <alignment vertical="center" wrapText="1"/>
    </xf>
    <xf numFmtId="0" fontId="12" fillId="0" borderId="0" xfId="0" applyFont="1" applyBorder="1" applyAlignment="1">
      <alignment vertical="center" wrapText="1"/>
    </xf>
    <xf numFmtId="0" fontId="12" fillId="2" borderId="0" xfId="0" applyFont="1" applyFill="1" applyBorder="1" applyAlignment="1">
      <alignment vertical="center" wrapText="1"/>
    </xf>
    <xf numFmtId="0" fontId="12" fillId="0" borderId="0" xfId="0" applyFont="1" applyBorder="1" applyAlignment="1">
      <alignment horizontal="justify" vertical="center" wrapText="1"/>
    </xf>
    <xf numFmtId="0" fontId="10" fillId="0" borderId="0" xfId="0" applyFont="1" applyBorder="1" applyAlignment="1">
      <alignment horizontal="justify" vertical="center" wrapText="1"/>
    </xf>
    <xf numFmtId="0" fontId="10" fillId="0" borderId="0" xfId="0" applyFont="1" applyBorder="1" applyAlignment="1">
      <alignment vertical="center" wrapText="1"/>
    </xf>
    <xf numFmtId="0" fontId="11" fillId="8" borderId="0" xfId="0" applyFont="1" applyFill="1" applyBorder="1" applyAlignment="1">
      <alignment horizontal="justify" vertical="center" wrapText="1"/>
    </xf>
    <xf numFmtId="0" fontId="10" fillId="2" borderId="0" xfId="0" applyFont="1" applyFill="1" applyBorder="1" applyAlignment="1">
      <alignment vertical="center" wrapText="1"/>
    </xf>
    <xf numFmtId="0" fontId="37" fillId="0" borderId="1" xfId="0" applyFont="1" applyBorder="1" applyAlignment="1">
      <alignment horizontal="left" vertical="top" wrapText="1"/>
    </xf>
    <xf numFmtId="0" fontId="37" fillId="0" borderId="1" xfId="0" applyFont="1" applyBorder="1" applyAlignment="1">
      <alignment horizontal="center" vertical="center" wrapText="1"/>
    </xf>
    <xf numFmtId="0" fontId="38" fillId="0" borderId="1" xfId="0" applyFont="1" applyBorder="1" applyAlignment="1">
      <alignment horizontal="left" vertical="top" wrapText="1"/>
    </xf>
    <xf numFmtId="0" fontId="5" fillId="0" borderId="1" xfId="0" applyFont="1" applyBorder="1" applyAlignment="1">
      <alignment horizontal="left" vertical="center" wrapText="1"/>
    </xf>
    <xf numFmtId="0" fontId="38" fillId="0" borderId="1" xfId="0" applyFont="1" applyBorder="1" applyAlignment="1">
      <alignment horizontal="justify" vertical="center" wrapText="1"/>
    </xf>
    <xf numFmtId="0" fontId="38" fillId="0" borderId="1" xfId="0" applyFont="1" applyBorder="1" applyAlignment="1">
      <alignment vertical="center" wrapText="1"/>
    </xf>
    <xf numFmtId="0" fontId="5" fillId="10" borderId="1" xfId="0" applyFont="1" applyFill="1" applyBorder="1" applyAlignment="1">
      <alignment horizontal="left" vertical="top" wrapText="1"/>
    </xf>
    <xf numFmtId="0" fontId="5" fillId="0" borderId="1" xfId="0" applyFont="1" applyBorder="1" applyAlignment="1">
      <alignment vertical="center" wrapText="1"/>
    </xf>
    <xf numFmtId="0" fontId="5" fillId="2" borderId="1" xfId="0" applyFont="1" applyFill="1" applyBorder="1" applyAlignment="1">
      <alignment vertical="center" wrapText="1"/>
    </xf>
    <xf numFmtId="0" fontId="5" fillId="0" borderId="1" xfId="0" applyFont="1" applyBorder="1" applyAlignment="1">
      <alignment horizontal="left" vertical="top" wrapText="1"/>
    </xf>
    <xf numFmtId="0" fontId="5" fillId="0" borderId="1" xfId="0" applyFont="1" applyBorder="1" applyAlignment="1">
      <alignment horizontal="justify" vertical="center" wrapText="1"/>
    </xf>
    <xf numFmtId="0" fontId="39" fillId="0" borderId="1" xfId="0" applyFont="1" applyBorder="1" applyAlignment="1">
      <alignment horizontal="left" vertical="top" wrapText="1"/>
    </xf>
    <xf numFmtId="0" fontId="39" fillId="0" borderId="1" xfId="0" applyFont="1" applyBorder="1" applyAlignment="1">
      <alignment horizontal="justify" vertical="center" wrapText="1"/>
    </xf>
    <xf numFmtId="0" fontId="39" fillId="0" borderId="1" xfId="0" applyFont="1" applyBorder="1" applyAlignment="1">
      <alignment vertical="center" wrapText="1"/>
    </xf>
    <xf numFmtId="0" fontId="5" fillId="8" borderId="1" xfId="0" applyFont="1" applyFill="1" applyBorder="1" applyAlignment="1">
      <alignment horizontal="left" vertical="top"/>
    </xf>
    <xf numFmtId="0" fontId="38" fillId="8" borderId="1" xfId="0" applyFont="1" applyFill="1" applyBorder="1" applyAlignment="1">
      <alignment horizontal="justify" vertical="center" wrapText="1"/>
    </xf>
    <xf numFmtId="0" fontId="39" fillId="10" borderId="1" xfId="0" applyFont="1" applyFill="1" applyBorder="1" applyAlignment="1">
      <alignment horizontal="left" vertical="top" wrapText="1"/>
    </xf>
    <xf numFmtId="0" fontId="39" fillId="2" borderId="1" xfId="0" applyFont="1" applyFill="1" applyBorder="1" applyAlignment="1">
      <alignment vertical="center" wrapText="1"/>
    </xf>
    <xf numFmtId="0" fontId="5" fillId="0" borderId="1" xfId="0" applyFont="1" applyBorder="1" applyAlignment="1">
      <alignment horizontal="left" vertical="top"/>
    </xf>
    <xf numFmtId="0" fontId="5" fillId="0" borderId="1" xfId="0" applyFont="1" applyBorder="1" applyAlignment="1">
      <alignment wrapText="1"/>
    </xf>
    <xf numFmtId="0" fontId="40" fillId="0" borderId="1" xfId="1" applyFont="1" applyBorder="1"/>
    <xf numFmtId="0" fontId="37" fillId="0" borderId="1" xfId="0" applyFont="1" applyBorder="1" applyAlignment="1">
      <alignment vertical="center" wrapText="1"/>
    </xf>
    <xf numFmtId="0" fontId="41" fillId="0" borderId="1" xfId="0" applyFont="1" applyBorder="1" applyAlignment="1">
      <alignment vertical="center" wrapText="1"/>
    </xf>
    <xf numFmtId="0" fontId="37" fillId="0" borderId="1" xfId="0" applyFont="1" applyBorder="1"/>
    <xf numFmtId="0" fontId="5" fillId="0" borderId="1" xfId="0" applyFont="1" applyBorder="1" applyAlignment="1">
      <alignment horizontal="center" vertical="center" wrapText="1"/>
    </xf>
    <xf numFmtId="0" fontId="5" fillId="10" borderId="1" xfId="0" applyFont="1" applyFill="1" applyBorder="1" applyAlignment="1">
      <alignment horizontal="left" vertical="top"/>
    </xf>
    <xf numFmtId="0" fontId="0" fillId="0" borderId="0" xfId="0" quotePrefix="1"/>
    <xf numFmtId="0" fontId="5" fillId="14" borderId="1" xfId="0" applyFont="1" applyFill="1" applyBorder="1" applyAlignment="1">
      <alignment horizontal="left" vertical="top" wrapText="1"/>
    </xf>
    <xf numFmtId="0" fontId="39" fillId="14" borderId="1" xfId="0" applyFont="1" applyFill="1" applyBorder="1" applyAlignment="1">
      <alignment horizontal="left" vertical="top" wrapText="1"/>
    </xf>
    <xf numFmtId="0" fontId="5" fillId="14" borderId="1" xfId="0" applyFont="1" applyFill="1" applyBorder="1" applyAlignment="1">
      <alignment horizontal="left" vertical="top"/>
    </xf>
    <xf numFmtId="0" fontId="0" fillId="0" borderId="0" xfId="0" applyAlignment="1">
      <alignment horizontal="center" vertical="center" wrapText="1"/>
    </xf>
    <xf numFmtId="0" fontId="46" fillId="0" borderId="0" xfId="0" applyFont="1" applyAlignment="1">
      <alignment horizontal="justify" vertical="center" wrapText="1"/>
    </xf>
    <xf numFmtId="0" fontId="46" fillId="0" borderId="0" xfId="0" applyFont="1" applyAlignment="1">
      <alignment vertical="center" wrapText="1"/>
    </xf>
    <xf numFmtId="0" fontId="4" fillId="0" borderId="0" xfId="1" applyAlignment="1">
      <alignment horizontal="justify" vertical="center" wrapText="1"/>
    </xf>
    <xf numFmtId="0" fontId="19" fillId="0" borderId="0" xfId="0" applyFont="1" applyAlignment="1">
      <alignment vertical="center" wrapText="1"/>
    </xf>
    <xf numFmtId="0" fontId="0" fillId="0" borderId="0" xfId="0" quotePrefix="1" applyFont="1"/>
    <xf numFmtId="0" fontId="47" fillId="2" borderId="1" xfId="0" applyFont="1" applyFill="1" applyBorder="1" applyAlignment="1">
      <alignment horizontal="left" vertical="top" wrapText="1"/>
    </xf>
    <xf numFmtId="0" fontId="5" fillId="3" borderId="1" xfId="0" applyFont="1" applyFill="1" applyBorder="1" applyAlignment="1">
      <alignment horizontal="left" vertical="top"/>
    </xf>
    <xf numFmtId="0" fontId="48" fillId="0" borderId="3" xfId="0" applyFont="1" applyBorder="1" applyAlignment="1">
      <alignment vertical="center" wrapText="1"/>
    </xf>
    <xf numFmtId="0" fontId="48" fillId="0" borderId="5" xfId="0" applyFont="1" applyBorder="1" applyAlignment="1">
      <alignment vertical="center" wrapText="1"/>
    </xf>
    <xf numFmtId="0" fontId="48" fillId="0" borderId="4" xfId="0" applyFont="1" applyBorder="1" applyAlignment="1">
      <alignment vertical="center" wrapText="1"/>
    </xf>
    <xf numFmtId="0" fontId="48" fillId="0" borderId="6" xfId="0" applyFont="1" applyBorder="1" applyAlignment="1">
      <alignment vertical="center" wrapText="1"/>
    </xf>
    <xf numFmtId="0" fontId="48" fillId="0" borderId="9" xfId="0" applyFont="1" applyBorder="1" applyAlignment="1">
      <alignment vertical="center" wrapText="1"/>
    </xf>
    <xf numFmtId="0" fontId="49" fillId="0" borderId="4" xfId="0" applyFont="1" applyBorder="1" applyAlignment="1">
      <alignment vertical="center" wrapText="1"/>
    </xf>
    <xf numFmtId="0" fontId="10" fillId="0" borderId="0" xfId="0" applyFont="1"/>
    <xf numFmtId="0" fontId="10" fillId="0" borderId="0" xfId="0" applyFont="1" applyAlignment="1">
      <alignment wrapText="1"/>
    </xf>
    <xf numFmtId="0" fontId="0" fillId="2" borderId="0" xfId="0" applyFill="1" applyAlignment="1">
      <alignment horizontal="left" vertical="top"/>
    </xf>
    <xf numFmtId="0" fontId="10" fillId="0" borderId="3" xfId="0" applyFont="1" applyBorder="1" applyAlignment="1">
      <alignment horizontal="justify" vertical="center" wrapText="1"/>
    </xf>
    <xf numFmtId="0" fontId="12" fillId="0" borderId="5" xfId="0" applyFont="1" applyBorder="1" applyAlignment="1">
      <alignment horizontal="left" vertical="center" wrapText="1"/>
    </xf>
    <xf numFmtId="0" fontId="10" fillId="15" borderId="4" xfId="0" applyFont="1" applyFill="1" applyBorder="1" applyAlignment="1">
      <alignment horizontal="justify" vertical="center" wrapText="1"/>
    </xf>
    <xf numFmtId="0" fontId="50" fillId="15" borderId="6" xfId="0" applyFont="1" applyFill="1" applyBorder="1" applyAlignment="1">
      <alignment horizontal="left" vertical="center" wrapText="1"/>
    </xf>
    <xf numFmtId="0" fontId="10" fillId="0" borderId="4" xfId="0" applyFont="1" applyBorder="1" applyAlignment="1">
      <alignment vertical="center" wrapText="1"/>
    </xf>
    <xf numFmtId="0" fontId="10" fillId="0" borderId="6" xfId="0" applyFont="1" applyBorder="1" applyAlignment="1">
      <alignment horizontal="justify" vertical="center" wrapText="1"/>
    </xf>
    <xf numFmtId="0" fontId="10" fillId="15" borderId="4" xfId="0" applyFont="1" applyFill="1" applyBorder="1" applyAlignment="1">
      <alignment vertical="center" wrapText="1"/>
    </xf>
    <xf numFmtId="0" fontId="51" fillId="15" borderId="6" xfId="0" applyFont="1" applyFill="1" applyBorder="1" applyAlignment="1">
      <alignment horizontal="justify" vertical="center" wrapText="1"/>
    </xf>
    <xf numFmtId="0" fontId="10" fillId="0" borderId="4" xfId="0" applyFont="1" applyBorder="1" applyAlignment="1">
      <alignment horizontal="justify" vertical="center" wrapText="1"/>
    </xf>
    <xf numFmtId="0" fontId="12" fillId="0" borderId="6" xfId="0" applyFont="1" applyBorder="1" applyAlignment="1">
      <alignment horizontal="left" vertical="center" wrapText="1"/>
    </xf>
    <xf numFmtId="0" fontId="10" fillId="15" borderId="6" xfId="0" applyFont="1" applyFill="1" applyBorder="1" applyAlignment="1">
      <alignment horizontal="justify" vertical="center" wrapText="1"/>
    </xf>
    <xf numFmtId="0" fontId="12" fillId="15" borderId="4" xfId="0" applyFont="1" applyFill="1" applyBorder="1" applyAlignment="1">
      <alignment horizontal="justify" vertical="center" wrapText="1"/>
    </xf>
    <xf numFmtId="0" fontId="12" fillId="15" borderId="6" xfId="0" applyFont="1" applyFill="1" applyBorder="1" applyAlignment="1">
      <alignment horizontal="justify" vertical="center" wrapText="1"/>
    </xf>
    <xf numFmtId="0" fontId="12" fillId="0" borderId="4" xfId="0" applyFont="1" applyBorder="1" applyAlignment="1">
      <alignment horizontal="justify" vertical="center" wrapText="1"/>
    </xf>
    <xf numFmtId="0" fontId="12" fillId="0" borderId="6" xfId="0" applyFont="1" applyBorder="1" applyAlignment="1">
      <alignment horizontal="justify" vertical="center" wrapText="1"/>
    </xf>
    <xf numFmtId="0" fontId="5" fillId="0" borderId="7" xfId="0" applyFont="1" applyFill="1" applyBorder="1" applyAlignment="1">
      <alignment vertical="top"/>
    </xf>
    <xf numFmtId="0" fontId="4" fillId="0" borderId="8" xfId="1" applyFill="1" applyBorder="1" applyAlignment="1">
      <alignment vertical="top"/>
    </xf>
    <xf numFmtId="0" fontId="52" fillId="0" borderId="0" xfId="0" applyFont="1" applyAlignment="1">
      <alignment horizontal="justify" vertical="center" wrapText="1"/>
    </xf>
    <xf numFmtId="0" fontId="10" fillId="0" borderId="0" xfId="0" applyFont="1" applyAlignment="1">
      <alignment vertical="center" wrapText="1"/>
    </xf>
    <xf numFmtId="0" fontId="0" fillId="0" borderId="1" xfId="0" applyBorder="1" applyAlignment="1">
      <alignment horizontal="center" vertical="top" wrapText="1"/>
    </xf>
    <xf numFmtId="0" fontId="0" fillId="9" borderId="1" xfId="0" applyFill="1" applyBorder="1" applyAlignment="1">
      <alignment horizontal="left" vertical="top" wrapText="1"/>
    </xf>
    <xf numFmtId="0" fontId="5" fillId="9" borderId="1" xfId="0" applyFont="1" applyFill="1" applyBorder="1" applyAlignment="1">
      <alignment vertical="top"/>
    </xf>
    <xf numFmtId="0" fontId="4" fillId="9" borderId="1" xfId="1" applyFill="1" applyBorder="1" applyAlignment="1">
      <alignment vertical="top"/>
    </xf>
    <xf numFmtId="17" fontId="0" fillId="9" borderId="1" xfId="0" applyNumberFormat="1" applyFill="1" applyBorder="1" applyAlignment="1">
      <alignment horizontal="left" vertical="top" wrapText="1"/>
    </xf>
    <xf numFmtId="0" fontId="4" fillId="9" borderId="1" xfId="1" applyFill="1" applyBorder="1" applyAlignment="1">
      <alignment horizontal="center" vertical="top" wrapText="1"/>
    </xf>
    <xf numFmtId="0" fontId="0" fillId="9" borderId="1" xfId="0" quotePrefix="1" applyFill="1" applyBorder="1" applyAlignment="1">
      <alignment horizontal="left" vertical="top" wrapText="1"/>
    </xf>
    <xf numFmtId="0" fontId="5" fillId="9" borderId="7" xfId="0" applyFont="1" applyFill="1" applyBorder="1" applyAlignment="1">
      <alignment vertical="top"/>
    </xf>
    <xf numFmtId="0" fontId="5" fillId="9" borderId="1" xfId="0" applyFont="1" applyFill="1" applyBorder="1" applyAlignment="1">
      <alignment horizontal="left" vertical="top" wrapText="1"/>
    </xf>
    <xf numFmtId="0" fontId="5" fillId="9" borderId="1" xfId="0" quotePrefix="1" applyFont="1" applyFill="1" applyBorder="1" applyAlignment="1">
      <alignment horizontal="left" vertical="top" wrapText="1"/>
    </xf>
    <xf numFmtId="0" fontId="5" fillId="9" borderId="1" xfId="0" applyFont="1" applyFill="1" applyBorder="1" applyAlignment="1">
      <alignment vertical="top" wrapText="1"/>
    </xf>
    <xf numFmtId="0" fontId="5" fillId="9" borderId="8" xfId="0" quotePrefix="1" applyFont="1" applyFill="1" applyBorder="1" applyAlignment="1">
      <alignment wrapText="1"/>
    </xf>
    <xf numFmtId="0" fontId="5" fillId="9" borderId="7" xfId="0" applyFont="1" applyFill="1" applyBorder="1"/>
    <xf numFmtId="0" fontId="5" fillId="9" borderId="8" xfId="0" applyFont="1" applyFill="1" applyBorder="1"/>
    <xf numFmtId="0" fontId="5" fillId="9" borderId="8" xfId="0" quotePrefix="1" applyFont="1" applyFill="1" applyBorder="1" applyAlignment="1">
      <alignment vertical="top" wrapText="1"/>
    </xf>
    <xf numFmtId="0" fontId="9" fillId="9" borderId="1" xfId="0" applyFont="1" applyFill="1" applyBorder="1" applyAlignment="1">
      <alignment vertical="top" wrapText="1"/>
    </xf>
    <xf numFmtId="0" fontId="4" fillId="9" borderId="1" xfId="1" applyFill="1" applyBorder="1" applyAlignment="1">
      <alignment horizontal="left" vertical="top" wrapText="1"/>
    </xf>
    <xf numFmtId="0" fontId="0" fillId="9" borderId="1" xfId="0" applyFill="1" applyBorder="1" applyAlignment="1">
      <alignment vertical="top" wrapText="1"/>
    </xf>
    <xf numFmtId="0" fontId="5" fillId="9" borderId="1" xfId="0" quotePrefix="1" applyFont="1" applyFill="1" applyBorder="1" applyAlignment="1">
      <alignment vertical="top"/>
    </xf>
    <xf numFmtId="0" fontId="4" fillId="9" borderId="1" xfId="1" applyFill="1" applyBorder="1" applyAlignment="1">
      <alignment horizontal="center" vertical="top"/>
    </xf>
    <xf numFmtId="0" fontId="5" fillId="9" borderId="8" xfId="0" quotePrefix="1" applyFont="1" applyFill="1" applyBorder="1" applyAlignment="1">
      <alignment vertical="top"/>
    </xf>
    <xf numFmtId="0" fontId="5" fillId="9" borderId="8" xfId="0" applyFont="1" applyFill="1" applyBorder="1" applyAlignment="1">
      <alignment vertical="top"/>
    </xf>
    <xf numFmtId="0" fontId="4" fillId="9" borderId="8" xfId="1" applyFill="1" applyBorder="1" applyAlignment="1">
      <alignment vertical="top"/>
    </xf>
    <xf numFmtId="0" fontId="4" fillId="9" borderId="8" xfId="1" applyFill="1" applyBorder="1"/>
    <xf numFmtId="0" fontId="1" fillId="9" borderId="1" xfId="0" applyFont="1" applyFill="1" applyBorder="1" applyAlignment="1">
      <alignment horizontal="left" vertical="top" wrapText="1"/>
    </xf>
    <xf numFmtId="0" fontId="0" fillId="9" borderId="0" xfId="0" applyFill="1" applyBorder="1" applyAlignment="1">
      <alignment horizontal="left" vertical="top" wrapText="1"/>
    </xf>
    <xf numFmtId="0" fontId="0" fillId="9" borderId="7" xfId="0" applyFill="1" applyBorder="1" applyAlignment="1">
      <alignment horizontal="left" vertical="top" wrapText="1"/>
    </xf>
    <xf numFmtId="0" fontId="0" fillId="9" borderId="2" xfId="0" applyFill="1" applyBorder="1" applyAlignment="1">
      <alignment horizontal="left" vertical="top" wrapText="1"/>
    </xf>
    <xf numFmtId="0" fontId="10" fillId="9" borderId="0" xfId="0" applyFont="1" applyFill="1" applyAlignment="1">
      <alignment horizontal="justify" vertical="center" wrapText="1"/>
    </xf>
    <xf numFmtId="0" fontId="4" fillId="9" borderId="2" xfId="1" applyFill="1" applyBorder="1" applyAlignment="1">
      <alignment vertical="top"/>
    </xf>
    <xf numFmtId="0" fontId="5" fillId="9" borderId="1" xfId="0" applyFont="1" applyFill="1" applyBorder="1" applyAlignment="1">
      <alignment horizontal="center" vertical="top"/>
    </xf>
    <xf numFmtId="0" fontId="13" fillId="9" borderId="1" xfId="0" applyFont="1" applyFill="1" applyBorder="1" applyAlignment="1">
      <alignment horizontal="left" vertical="top" wrapText="1"/>
    </xf>
    <xf numFmtId="0" fontId="12" fillId="9" borderId="1" xfId="0" applyFont="1" applyFill="1" applyBorder="1" applyAlignment="1">
      <alignment vertical="top"/>
    </xf>
    <xf numFmtId="0" fontId="12" fillId="9" borderId="1" xfId="0" applyFont="1" applyFill="1" applyBorder="1" applyAlignment="1">
      <alignment vertical="top" wrapText="1"/>
    </xf>
    <xf numFmtId="0" fontId="5" fillId="9" borderId="2" xfId="0" quotePrefix="1" applyFont="1" applyFill="1" applyBorder="1" applyAlignment="1">
      <alignment vertical="top"/>
    </xf>
    <xf numFmtId="0" fontId="5" fillId="9" borderId="2" xfId="0" applyFont="1" applyFill="1" applyBorder="1" applyAlignment="1">
      <alignment vertical="top"/>
    </xf>
    <xf numFmtId="0" fontId="5" fillId="9" borderId="1" xfId="0" quotePrefix="1" applyFont="1" applyFill="1" applyBorder="1" applyAlignment="1">
      <alignment horizontal="left" vertical="top"/>
    </xf>
    <xf numFmtId="0" fontId="4" fillId="9" borderId="1" xfId="1" applyFill="1" applyBorder="1" applyAlignment="1">
      <alignment horizontal="left" vertical="top"/>
    </xf>
    <xf numFmtId="0" fontId="8" fillId="9" borderId="1" xfId="0" applyFont="1" applyFill="1" applyBorder="1" applyAlignment="1">
      <alignment horizontal="left" vertical="top" wrapText="1"/>
    </xf>
    <xf numFmtId="0" fontId="0" fillId="9"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4" borderId="1" xfId="0" applyFill="1" applyBorder="1" applyAlignment="1">
      <alignment vertical="center" wrapText="1"/>
    </xf>
    <xf numFmtId="0" fontId="0" fillId="6" borderId="1" xfId="0" applyFill="1" applyBorder="1" applyAlignment="1">
      <alignment vertical="center" wrapText="1"/>
    </xf>
    <xf numFmtId="0" fontId="5" fillId="5" borderId="7" xfId="0" applyFont="1" applyFill="1" applyBorder="1" applyAlignment="1">
      <alignment horizontal="left" vertical="center" wrapText="1"/>
    </xf>
    <xf numFmtId="0" fontId="1" fillId="2" borderId="1" xfId="0" applyFont="1" applyFill="1" applyBorder="1" applyAlignment="1">
      <alignment vertical="center" wrapText="1"/>
    </xf>
    <xf numFmtId="0" fontId="6"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0" fillId="0" borderId="1" xfId="0" applyBorder="1" applyAlignment="1">
      <alignment horizontal="left" vertical="center" wrapText="1"/>
    </xf>
    <xf numFmtId="0" fontId="38" fillId="5" borderId="8" xfId="0" applyFont="1" applyFill="1" applyBorder="1" applyAlignment="1">
      <alignment vertical="center"/>
    </xf>
    <xf numFmtId="0" fontId="0" fillId="0" borderId="1" xfId="0" applyFill="1" applyBorder="1" applyAlignment="1">
      <alignment horizontal="left" vertical="center" wrapText="1"/>
    </xf>
    <xf numFmtId="0" fontId="4" fillId="5" borderId="8" xfId="1" applyFill="1" applyBorder="1" applyAlignment="1">
      <alignment horizontal="left" vertical="center"/>
    </xf>
    <xf numFmtId="0" fontId="5" fillId="5" borderId="8" xfId="0" applyFont="1" applyFill="1" applyBorder="1" applyAlignment="1">
      <alignment horizontal="left" vertical="center" wrapText="1"/>
    </xf>
    <xf numFmtId="0" fontId="38" fillId="5" borderId="8" xfId="0" applyFont="1" applyFill="1" applyBorder="1" applyAlignment="1">
      <alignment horizontal="left" vertical="center" wrapText="1"/>
    </xf>
    <xf numFmtId="17" fontId="0" fillId="0" borderId="1" xfId="0" applyNumberFormat="1" applyFill="1" applyBorder="1" applyAlignment="1">
      <alignment horizontal="left" vertical="center" wrapText="1"/>
    </xf>
    <xf numFmtId="0" fontId="0" fillId="8" borderId="1" xfId="0" applyFill="1" applyBorder="1" applyAlignment="1">
      <alignment vertical="center" wrapText="1"/>
    </xf>
    <xf numFmtId="0" fontId="0" fillId="2" borderId="1" xfId="0" applyFill="1" applyBorder="1" applyAlignment="1">
      <alignment horizontal="left" vertical="center" wrapText="1"/>
    </xf>
    <xf numFmtId="0" fontId="0" fillId="2" borderId="0" xfId="0" applyFill="1"/>
    <xf numFmtId="0" fontId="0" fillId="16" borderId="1" xfId="0" applyFill="1" applyBorder="1" applyAlignment="1">
      <alignment horizontal="left" vertical="center" wrapText="1"/>
    </xf>
    <xf numFmtId="0" fontId="13" fillId="0" borderId="1" xfId="0" applyFont="1" applyBorder="1" applyAlignment="1">
      <alignment horizontal="left" vertical="center" wrapText="1"/>
    </xf>
    <xf numFmtId="0" fontId="0" fillId="9" borderId="7" xfId="0" quotePrefix="1" applyFill="1" applyBorder="1" applyAlignment="1">
      <alignment horizontal="left" vertical="top" wrapText="1"/>
    </xf>
    <xf numFmtId="0" fontId="4" fillId="9" borderId="2" xfId="1" applyFill="1" applyBorder="1" applyAlignment="1">
      <alignment horizontal="center" vertical="top" wrapText="1"/>
    </xf>
    <xf numFmtId="0" fontId="0" fillId="6" borderId="1" xfId="0" applyFill="1" applyBorder="1" applyAlignment="1">
      <alignment horizontal="left" vertical="center" wrapText="1"/>
    </xf>
    <xf numFmtId="0" fontId="8" fillId="0" borderId="1" xfId="0" applyFont="1" applyBorder="1" applyAlignment="1">
      <alignment vertical="top" wrapText="1"/>
    </xf>
    <xf numFmtId="0" fontId="8" fillId="16" borderId="1" xfId="0" applyFont="1" applyFill="1" applyBorder="1" applyAlignment="1">
      <alignment horizontal="left" vertical="top" wrapText="1"/>
    </xf>
    <xf numFmtId="0" fontId="8" fillId="6" borderId="1" xfId="0" applyFont="1" applyFill="1" applyBorder="1" applyAlignment="1">
      <alignment vertical="top" wrapText="1"/>
    </xf>
    <xf numFmtId="0" fontId="0" fillId="0" borderId="1" xfId="0" quotePrefix="1" applyBorder="1" applyAlignment="1">
      <alignment horizontal="left" vertical="center" wrapText="1"/>
    </xf>
    <xf numFmtId="0" fontId="5" fillId="9" borderId="2" xfId="0" quotePrefix="1" applyFont="1" applyFill="1" applyBorder="1" applyAlignment="1">
      <alignment vertical="top" wrapText="1"/>
    </xf>
    <xf numFmtId="0" fontId="5" fillId="9" borderId="2" xfId="0" applyFont="1" applyFill="1" applyBorder="1"/>
    <xf numFmtId="0" fontId="8"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4" fillId="5" borderId="8" xfId="1" applyFill="1" applyBorder="1"/>
    <xf numFmtId="0" fontId="5" fillId="5" borderId="7" xfId="0" applyFont="1" applyFill="1" applyBorder="1" applyAlignment="1">
      <alignment horizontal="left" vertical="top"/>
    </xf>
    <xf numFmtId="0" fontId="5" fillId="5" borderId="8" xfId="0" applyFont="1" applyFill="1" applyBorder="1"/>
    <xf numFmtId="0" fontId="5" fillId="5" borderId="8" xfId="0" quotePrefix="1"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5" borderId="2" xfId="0" quotePrefix="1" applyFont="1" applyFill="1" applyBorder="1" applyAlignment="1">
      <alignment horizontal="left" vertical="center" wrapText="1"/>
    </xf>
    <xf numFmtId="0" fontId="4" fillId="5" borderId="2" xfId="1" applyFill="1" applyBorder="1" applyAlignment="1">
      <alignment horizontal="left" vertical="center"/>
    </xf>
    <xf numFmtId="0" fontId="0" fillId="2" borderId="1" xfId="0" applyFill="1" applyBorder="1" applyAlignment="1">
      <alignment vertical="center" wrapText="1"/>
    </xf>
    <xf numFmtId="0" fontId="55" fillId="0" borderId="1" xfId="0" applyFont="1" applyBorder="1" applyAlignment="1">
      <alignment horizontal="left" vertical="top" wrapText="1"/>
    </xf>
    <xf numFmtId="0" fontId="58" fillId="0" borderId="0" xfId="0" applyFont="1" applyAlignment="1">
      <alignment horizontal="left"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center" wrapText="1"/>
    </xf>
    <xf numFmtId="0" fontId="5" fillId="9" borderId="2" xfId="0" quotePrefix="1" applyFont="1" applyFill="1" applyBorder="1" applyAlignment="1">
      <alignment wrapText="1"/>
    </xf>
    <xf numFmtId="0" fontId="39" fillId="0" borderId="0" xfId="0" applyFont="1" applyAlignment="1">
      <alignment wrapText="1"/>
    </xf>
    <xf numFmtId="0" fontId="4" fillId="5" borderId="11" xfId="1" applyFill="1" applyBorder="1"/>
    <xf numFmtId="0" fontId="0" fillId="2" borderId="0" xfId="0" applyFill="1" applyAlignment="1">
      <alignment horizontal="center" vertical="center"/>
    </xf>
    <xf numFmtId="0" fontId="0" fillId="4" borderId="0" xfId="0" applyFill="1" applyAlignment="1">
      <alignment horizontal="center" vertical="center"/>
    </xf>
    <xf numFmtId="0" fontId="0" fillId="0" borderId="0" xfId="0" applyFill="1" applyBorder="1" applyAlignment="1">
      <alignment horizontal="center" vertical="center"/>
    </xf>
    <xf numFmtId="0" fontId="0" fillId="4" borderId="0" xfId="0" applyFill="1"/>
    <xf numFmtId="0" fontId="0" fillId="0" borderId="1" xfId="0" quotePrefix="1" applyBorder="1" applyAlignment="1">
      <alignment horizontal="left" vertical="top" wrapText="1"/>
    </xf>
    <xf numFmtId="0" fontId="0" fillId="0" borderId="1" xfId="0" applyBorder="1" applyAlignment="1">
      <alignment horizontal="center" vertical="top" wrapText="1"/>
    </xf>
    <xf numFmtId="0" fontId="2" fillId="0" borderId="1" xfId="0" applyFont="1" applyBorder="1" applyAlignment="1">
      <alignment horizontal="center" vertical="top" wrapText="1"/>
    </xf>
    <xf numFmtId="0" fontId="48" fillId="0" borderId="10" xfId="0" applyFont="1" applyBorder="1" applyAlignment="1">
      <alignment vertical="center" wrapText="1"/>
    </xf>
    <xf numFmtId="0" fontId="48" fillId="0" borderId="4" xfId="0" applyFont="1" applyBorder="1" applyAlignment="1">
      <alignment vertical="center" wrapText="1"/>
    </xf>
    <xf numFmtId="0" fontId="25" fillId="0" borderId="0" xfId="0" applyFont="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Contract/Specifications/20-20967/GCC-CC7-PF-00000-PE-TSP-7001_00_1_Requirements_for_Package_units.pdf" TargetMode="External"/><Relationship Id="rId299" Type="http://schemas.openxmlformats.org/officeDocument/2006/relationships/hyperlink" Target="6.%20SOW/Annex%203_Technical%20Requirements,%20Technical%20Specifications/Technical%20Requirements,%20Technical%20Specifications/GCC-CC7-PM-00000-ME-TSP-00001_AA_2%20(1).pdf" TargetMode="External"/><Relationship Id="rId21" Type="http://schemas.openxmlformats.org/officeDocument/2006/relationships/hyperlink" Target="20-20967\GCC-CC7-PF-00000-RQ-TSP-7002_00_1_Customer's_Specification_for_the_Supply_of_Pump_Units.pdf" TargetMode="External"/><Relationship Id="rId63" Type="http://schemas.openxmlformats.org/officeDocument/2006/relationships/hyperlink" Target="../../../Contract/Specifications/20-20967/GCC-CC7-PF-00000-ME-TSP-5006_00_1_Mechanical_Equipment_Design_Criteria.pdf" TargetMode="External"/><Relationship Id="rId159" Type="http://schemas.openxmlformats.org/officeDocument/2006/relationships/hyperlink" Target="../../../Contract/Specifications/20-20967/GCC-CC7-PF-00000-SQ-TSP-5012_00_1_Design_Specifications_for_Vessels_and_Apparatuses.pdf" TargetMode="External"/><Relationship Id="rId324" Type="http://schemas.openxmlformats.org/officeDocument/2006/relationships/hyperlink" Target="6.%20SOW/Annex%203_Technical%20Requirements,%20Technical%20Specifications/Technical%20Requirements,%20Technical%20Specifications/GCC-CC7-PM-00000-ME-TSP-00001_AA_2%20(1).pdf" TargetMode="External"/><Relationship Id="rId366" Type="http://schemas.openxmlformats.org/officeDocument/2006/relationships/hyperlink" Target="file:///\\runas02\GENERAL\Modules_Budgets\20-20965%20-%20BCC%20MDP%20AlphaB+H\ITB-16.03.21\06%20Scope%20of%20Work\ATTACHMENT%206.%20Scope%20of%20Work_LAO.pdf" TargetMode="External"/><Relationship Id="rId170" Type="http://schemas.openxmlformats.org/officeDocument/2006/relationships/hyperlink" Target="../../../Contract/Specifications/20-20967/GCC-CC7-PF-00000-SS-TSP-1002_00_1_General_Structural_Specification.pdf" TargetMode="External"/><Relationship Id="rId226" Type="http://schemas.openxmlformats.org/officeDocument/2006/relationships/hyperlink" Target="6.%20SOW/Annex%203_Technical%20Requirements,%20Technical%20Specifications/Technical%20Requirements,%20Technical%20Specifications/GCC-CC7-PM-00000-ME-TSP-00006_00_2.pdf" TargetMode="External"/><Relationship Id="rId433" Type="http://schemas.openxmlformats.org/officeDocument/2006/relationships/hyperlink" Target="file:///\\runas02\GENERAL\Modules_Budgets\20-20965%20-%20BCC%20MDP%20AlphaB+H\ITB-16.03.21\06%20Scope%20of%20Work\ATTACHMENT%206.%20Scope%20of%20Work_LAO.pdf" TargetMode="External"/><Relationship Id="rId268" Type="http://schemas.openxmlformats.org/officeDocument/2006/relationships/hyperlink" Target="6.%20SOW/Annex%203_Technical%20Requirements,%20Technical%20Specifications/Technical%20Requirements,%20Technical%20Specifications/GCC-CC7-PM-00000-ME-TSP-00006_00_2.pdf" TargetMode="External"/><Relationship Id="rId32" Type="http://schemas.openxmlformats.org/officeDocument/2006/relationships/hyperlink" Target="../../../Contract/Specifications/20-20967/GCC-CC7-PF-00000-CI-TSP-1001_00_3_General_Civil_Specification.pdf" TargetMode="External"/><Relationship Id="rId74" Type="http://schemas.openxmlformats.org/officeDocument/2006/relationships/hyperlink" Target="../../../Contract/Specifications/20-20967/GCC-CC7-PF-00000-ME-TSP-5006_00_1_Mechanical_Equipment_Design_Criteria.pdf" TargetMode="External"/><Relationship Id="rId128" Type="http://schemas.openxmlformats.org/officeDocument/2006/relationships/hyperlink" Target="../../../Contract/Specifications/20-20967/GCC-CC7-PF-00000-PE-TSP-7001_00_1_Requirements_for_Package_units.pdf" TargetMode="External"/><Relationship Id="rId335" Type="http://schemas.openxmlformats.org/officeDocument/2006/relationships/hyperlink" Target="6.%20SOW/Annex%203_Technical%20Requirements,%20Technical%20Specifications/Technical%20Requirements,%20Technical%20Specifications/GCC-CC7-PM-00000-ME-TSP-00001_AA_2%20(1).pdf" TargetMode="External"/><Relationship Id="rId377" Type="http://schemas.openxmlformats.org/officeDocument/2006/relationships/hyperlink" Target="file:///\\runas02\GENERAL\Modules_Budgets\20-20965%20-%20BCC%20MDP%20AlphaB+H\ITB-16.03.21\06%20Scope%20of%20Work\ATTACHMENT%206.%20Scope%20of%20Work_LAO.pdf" TargetMode="External"/><Relationship Id="rId5" Type="http://schemas.openxmlformats.org/officeDocument/2006/relationships/hyperlink" Target="../../../Contract/Specifications/20-20967/GCC-CC7-PF-00000-CI-TSP-6001_00_1_Piperack_Design_Specification.pdf" TargetMode="External"/><Relationship Id="rId181" Type="http://schemas.openxmlformats.org/officeDocument/2006/relationships/hyperlink" Target="../../../Contract/Specifications/20-20967/GCC-CC7-PF-00000-IN-TSP-8013_00_Bl.pdf" TargetMode="External"/><Relationship Id="rId237" Type="http://schemas.openxmlformats.org/officeDocument/2006/relationships/hyperlink" Target="6.%20SOW/Annex%203_Technical%20Requirements,%20Technical%20Specifications/Technical%20Requirements,%20Technical%20Specifications/GCC-CC7-PM-00000-ME-TSP-00006_00_2.pdf" TargetMode="External"/><Relationship Id="rId402" Type="http://schemas.openxmlformats.org/officeDocument/2006/relationships/hyperlink" Target="file:///\\runas02\GENERAL\Modules_Budgets\20-20965%20-%20BCC%20MDP%20AlphaB+H\ITB-16.03.21\06%20Scope%20of%20Work\ATTACHMENT%206.%20Scope%20of%20Work_LAO.pdf" TargetMode="External"/><Relationship Id="rId279" Type="http://schemas.openxmlformats.org/officeDocument/2006/relationships/hyperlink" Target="6.%20SOW/Annex%203_Technical%20Requirements,%20Technical%20Specifications/Technical%20Requirements,%20Technical%20Specifications/GCC-CC7-PM-00000-ME-TSP-00006_00_2.pdf" TargetMode="External"/><Relationship Id="rId43" Type="http://schemas.openxmlformats.org/officeDocument/2006/relationships/hyperlink" Target="../../../Contract/Specifications/20-20967/GCC-CC7-PF-00000-IN-TSP-8013_00_Bl.pdf" TargetMode="External"/><Relationship Id="rId139" Type="http://schemas.openxmlformats.org/officeDocument/2006/relationships/hyperlink" Target="../../../Contract/Specifications/20-20967/GCC-CC7-PF-00000-PE-TSP-7001_00_1_Requirements_for_Package_units.pdf" TargetMode="External"/><Relationship Id="rId290" Type="http://schemas.openxmlformats.org/officeDocument/2006/relationships/hyperlink" Target="6.%20SOW/Annex%203_Technical%20Requirements,%20Technical%20Specifications/Technical%20Requirements,%20Technical%20Specifications/GCC-CC7-PM-00000-ME-TSP-00006_00_2.pdf" TargetMode="External"/><Relationship Id="rId304" Type="http://schemas.openxmlformats.org/officeDocument/2006/relationships/hyperlink" Target="6.%20SOW/Annex%203_Technical%20Requirements,%20Technical%20Specifications/Technical%20Requirements,%20Technical%20Specifications/GCC-CC7-PM-00000-ME-TSP-00001_AA_2%20(1).pdf" TargetMode="External"/><Relationship Id="rId346" Type="http://schemas.openxmlformats.org/officeDocument/2006/relationships/hyperlink" Target="6.%20SOW/Annex%203_Technical%20Requirements,%20Technical%20Specifications/Technical%20Requirements,%20Technical%20Specifications/GCC-CC7-PM-00000-ME-TSP-00001_AA_2%20(1).pdf" TargetMode="External"/><Relationship Id="rId388" Type="http://schemas.openxmlformats.org/officeDocument/2006/relationships/hyperlink" Target="file:///\\runas02\GENERAL\Modules_Budgets\20-20965%20-%20BCC%20MDP%20AlphaB+H\ITB-16.03.21\06%20Scope%20of%20Work\ATTACHMENT%206.%20Scope%20of%20Work_LAO.pdf" TargetMode="External"/><Relationship Id="rId85" Type="http://schemas.openxmlformats.org/officeDocument/2006/relationships/hyperlink" Target="../../../Contract/Specifications/20-20967/GCC-CC7-PF-00000-OP-TSP-5003_00_1_Operating_and_Maintenance_Philosophy.pdf" TargetMode="External"/><Relationship Id="rId150" Type="http://schemas.openxmlformats.org/officeDocument/2006/relationships/hyperlink" Target="../../../Contract/Specifications/20-20967/GCC-CC7-PF-00000-RQ-TSP-7002_00_1_Customer's_Specification_for_the_Supply_of_Pump_Units.pdf" TargetMode="External"/><Relationship Id="rId192" Type="http://schemas.openxmlformats.org/officeDocument/2006/relationships/hyperlink" Target="../../../Contract/Specifications/20-20967/GCC-CC7-PF-00000-EL-TSP-9011_00_3_Electrical_Requirements_for_Mechanical_Equipment.pdf" TargetMode="External"/><Relationship Id="rId206" Type="http://schemas.openxmlformats.org/officeDocument/2006/relationships/hyperlink" Target="../../../Contract/Specifications/20-20967/GCC-CC7-PF-00000-PI-TSP-6002_00_3_Piping_Design_Specification.pdf" TargetMode="External"/><Relationship Id="rId413" Type="http://schemas.openxmlformats.org/officeDocument/2006/relationships/hyperlink" Target="file:///\\runas02\GENERAL\Modules_Budgets\20-20965%20-%20BCC%20MDP%20AlphaB+H\ITB-16.03.21\06%20Scope%20of%20Work\ATTACHMENT%206.%20Scope%20of%20Work_LAO.pdf" TargetMode="External"/><Relationship Id="rId248" Type="http://schemas.openxmlformats.org/officeDocument/2006/relationships/hyperlink" Target="6.%20SOW/Annex%203_Technical%20Requirements,%20Technical%20Specifications/Technical%20Requirements,%20Technical%20Specifications/GCC-CC7-PM-00000-ME-TSP-00006_00_2.pdf" TargetMode="External"/><Relationship Id="rId12" Type="http://schemas.openxmlformats.org/officeDocument/2006/relationships/hyperlink" Target="..\GCC-CC7-AXE-TRM-00001\GCC-CC7-PF-00000-ME-TSP-5006_00_1_Mechanical_Equipment_Design_Criteria.pdf" TargetMode="External"/><Relationship Id="rId33" Type="http://schemas.openxmlformats.org/officeDocument/2006/relationships/hyperlink" Target="../../../Contract/Specifications/20-20967/GCC-CC7-PF-00000-CI-TSP-1001_00_3_General_Civil_Specification.pdf" TargetMode="External"/><Relationship Id="rId108" Type="http://schemas.openxmlformats.org/officeDocument/2006/relationships/hyperlink" Target="../../../Contract/Specifications/20-20967/GCC-CC7-PF-00000-PC-TSP-5004_00_1_Process_Design_Criteria.pdf" TargetMode="External"/><Relationship Id="rId129" Type="http://schemas.openxmlformats.org/officeDocument/2006/relationships/hyperlink" Target="../../../Contract/Specifications/20-20967/GCC-CC7-PF-00000-PE-TSP-7001_00_1_Requirements_for_Package_units.pdf" TargetMode="External"/><Relationship Id="rId280" Type="http://schemas.openxmlformats.org/officeDocument/2006/relationships/hyperlink" Target="6.%20SOW/Annex%203_Technical%20Requirements,%20Technical%20Specifications/Technical%20Requirements,%20Technical%20Specifications/GCC-CC7-PM-00000-ME-TSP-00006_00_2.pdf" TargetMode="External"/><Relationship Id="rId315" Type="http://schemas.openxmlformats.org/officeDocument/2006/relationships/hyperlink" Target="6.%20SOW/Annex%203_Technical%20Requirements,%20Technical%20Specifications/Technical%20Requirements,%20Technical%20Specifications/GCC-CC7-PM-00000-ME-TSP-00001_AA_2%20(1).pdf" TargetMode="External"/><Relationship Id="rId336" Type="http://schemas.openxmlformats.org/officeDocument/2006/relationships/hyperlink" Target="6.%20SOW/Annex%203_Technical%20Requirements,%20Technical%20Specifications/Technical%20Requirements,%20Technical%20Specifications/GCC-CC7-PM-00000-ME-TSP-00001_AA_2%20(1).pdf" TargetMode="External"/><Relationship Id="rId357" Type="http://schemas.openxmlformats.org/officeDocument/2006/relationships/hyperlink" Target="file:///\\runas02\GENERAL\Modules_Budgets\20-20965%20-%20BCC%20MDP%20AlphaB+H\ITB-16.03.21\06%20Scope%20of%20Work\ATTACHMENT%206.%20Scope%20of%20Work_LAO.pdf" TargetMode="External"/><Relationship Id="rId54" Type="http://schemas.openxmlformats.org/officeDocument/2006/relationships/hyperlink" Target="../../../Contract/Specifications/20-20967/GCC-CC7-PF-00000-ME-TSP-5006_00_1_Mechanical_Equipment_Design_Criteria.pdf" TargetMode="External"/><Relationship Id="rId75" Type="http://schemas.openxmlformats.org/officeDocument/2006/relationships/hyperlink" Target="../../../Contract/Specifications/20-20967/GCC-CC7-PF-00000-ME-TSP-5006_00_1_Mechanical_Equipment_Design_Criteria.pdf" TargetMode="External"/><Relationship Id="rId96" Type="http://schemas.openxmlformats.org/officeDocument/2006/relationships/hyperlink" Target="../../../Contract/Specifications/20-20967/GCC-CC7-PF-00000-PC-TSP-5004_00_1_Process_Design_Criteria.pdf" TargetMode="External"/><Relationship Id="rId140" Type="http://schemas.openxmlformats.org/officeDocument/2006/relationships/hyperlink" Target="../../../Contract/Specifications/20-20967/GCC-CC7-PF-00000-PE-TSP-7001_00_1_Requirements_for_Package_units.pdf" TargetMode="External"/><Relationship Id="rId161" Type="http://schemas.openxmlformats.org/officeDocument/2006/relationships/hyperlink" Target="../../../Contract/Specifications/20-20967/GCC-CC7-PF-00000-SQ-TSP-5012_00_1_Design_Specifications_for_Vessels_and_Apparatuses.pdf" TargetMode="External"/><Relationship Id="rId182" Type="http://schemas.openxmlformats.org/officeDocument/2006/relationships/hyperlink" Target="../../../Contract/Specifications/20-20967/GCC-CC7-PF-00000-IN-TSP-8013_00_Bl.pdf" TargetMode="External"/><Relationship Id="rId217" Type="http://schemas.openxmlformats.org/officeDocument/2006/relationships/hyperlink" Target="6.%20SOW/Annex%203_Technical%20Requirements,%20Technical%20Specifications/Technical%20Requirements,%20Technical%20Specifications/GCC-CC7-PM-00000-ME-TSP-00006_00_2.pdf" TargetMode="External"/><Relationship Id="rId378" Type="http://schemas.openxmlformats.org/officeDocument/2006/relationships/hyperlink" Target="file:///\\runas02\GENERAL\Modules_Budgets\20-20965%20-%20BCC%20MDP%20AlphaB+H\ITB-16.03.21\06%20Scope%20of%20Work\ATTACHMENT%206.%20Scope%20of%20Work_LAO.pdf" TargetMode="External"/><Relationship Id="rId399" Type="http://schemas.openxmlformats.org/officeDocument/2006/relationships/hyperlink" Target="file:///\\runas02\GENERAL\Modules_Budgets\20-20965%20-%20BCC%20MDP%20AlphaB+H\ITB-16.03.21\06%20Scope%20of%20Work\ATTACHMENT%206.%20Scope%20of%20Work_LAO.pdf" TargetMode="External"/><Relationship Id="rId403" Type="http://schemas.openxmlformats.org/officeDocument/2006/relationships/hyperlink" Target="file:///\\runas02\GENERAL\Modules_Budgets\20-20965%20-%20BCC%20MDP%20AlphaB+H\ITB-16.03.21\06%20Scope%20of%20Work\ATTACHMENT%206.%20Scope%20of%20Work_LAO.pdf" TargetMode="External"/><Relationship Id="rId6" Type="http://schemas.openxmlformats.org/officeDocument/2006/relationships/hyperlink" Target="../GCC-CC7-AXE-TRM-00001/GCC-CC7-PF-00000-SS-TSP-1002_00_1_General_Structural_Specification.pdf" TargetMode="External"/><Relationship Id="rId238" Type="http://schemas.openxmlformats.org/officeDocument/2006/relationships/hyperlink" Target="6.%20SOW/Annex%203_Technical%20Requirements,%20Technical%20Specifications/Technical%20Requirements,%20Technical%20Specifications/GCC-CC7-PM-00000-ME-TSP-00006_00_2.pdf" TargetMode="External"/><Relationship Id="rId259" Type="http://schemas.openxmlformats.org/officeDocument/2006/relationships/hyperlink" Target="6.%20SOW/Annex%203_Technical%20Requirements,%20Technical%20Specifications/Technical%20Requirements,%20Technical%20Specifications/GCC-CC7-PM-00000-ME-TSP-00006_00_2.pdf" TargetMode="External"/><Relationship Id="rId424" Type="http://schemas.openxmlformats.org/officeDocument/2006/relationships/hyperlink" Target="file:///\\runas02\GENERAL\Modules_Budgets\20-20965%20-%20BCC%20MDP%20AlphaB+H\ITB-16.03.21\06%20Scope%20of%20Work\ATTACHMENT%206.%20Scope%20of%20Work_LAO.pdf" TargetMode="External"/><Relationship Id="rId23" Type="http://schemas.openxmlformats.org/officeDocument/2006/relationships/hyperlink" Target="20-20967\GCC-CC7-PF-00000-RQ-TSP-7002_00_1_Customer's_Specification_for_the_Supply_of_Pump_Units.pdf" TargetMode="External"/><Relationship Id="rId119" Type="http://schemas.openxmlformats.org/officeDocument/2006/relationships/hyperlink" Target="../../../Contract/Specifications/20-20967/GCC-CC7-PF-00000-PE-TSP-7001_00_1_Requirements_for_Package_units.pdf" TargetMode="External"/><Relationship Id="rId270" Type="http://schemas.openxmlformats.org/officeDocument/2006/relationships/hyperlink" Target="6.%20SOW/Annex%203_Technical%20Requirements,%20Technical%20Specifications/Technical%20Requirements,%20Technical%20Specifications/GCC-CC7-PM-00000-ME-TSP-00006_00_2.pdf" TargetMode="External"/><Relationship Id="rId291" Type="http://schemas.openxmlformats.org/officeDocument/2006/relationships/hyperlink" Target="6.%20SOW/Annex%203_Technical%20Requirements,%20Technical%20Specifications/Technical%20Requirements,%20Technical%20Specifications/GCC-CC7-PM-00000-ME-TSP-00006_00_2.pdf" TargetMode="External"/><Relationship Id="rId305" Type="http://schemas.openxmlformats.org/officeDocument/2006/relationships/hyperlink" Target="6.%20SOW/Annex%203_Technical%20Requirements,%20Technical%20Specifications/Technical%20Requirements,%20Technical%20Specifications/GCC-CC7-PM-00000-ME-TSP-00001_AA_2%20(1).pdf" TargetMode="External"/><Relationship Id="rId326" Type="http://schemas.openxmlformats.org/officeDocument/2006/relationships/hyperlink" Target="6.%20SOW/Annex%203_Technical%20Requirements,%20Technical%20Specifications/Technical%20Requirements,%20Technical%20Specifications/GCC-CC7-PM-00000-ME-TSP-00001_AA_2%20(1).pdf" TargetMode="External"/><Relationship Id="rId347" Type="http://schemas.openxmlformats.org/officeDocument/2006/relationships/hyperlink" Target="6.%20SOW/Annex%203_Technical%20Requirements,%20Technical%20Specifications/Technical%20Requirements,%20Technical%20Specifications/GCC-CC7-PM-00000-ME-TSP-00001_AA_2%20(1).pdf" TargetMode="External"/><Relationship Id="rId44" Type="http://schemas.openxmlformats.org/officeDocument/2006/relationships/hyperlink" Target="../../../Contract/Specifications/20-20967/GCC-CC7-PF-00000-IN-TSP-8013_00_Bl.pdf" TargetMode="External"/><Relationship Id="rId65" Type="http://schemas.openxmlformats.org/officeDocument/2006/relationships/hyperlink" Target="../../../Contract/Specifications/20-20967/GCC-CC7-PF-00000-ME-TSP-5006_00_1_Mechanical_Equipment_Design_Criteria.pdf" TargetMode="External"/><Relationship Id="rId86" Type="http://schemas.openxmlformats.org/officeDocument/2006/relationships/hyperlink" Target="..\..\..\Contract\Specifications\20-20967\GCC-CC7-PF-00000-OP-TSP-5003_00_1_Operating_and_Maintenance_Philosophy.pdf" TargetMode="External"/><Relationship Id="rId130" Type="http://schemas.openxmlformats.org/officeDocument/2006/relationships/hyperlink" Target="../../../Contract/Specifications/20-20967/GCC-CC7-PF-00000-PE-TSP-7001_00_1_Requirements_for_Package_units.pdf" TargetMode="External"/><Relationship Id="rId151" Type="http://schemas.openxmlformats.org/officeDocument/2006/relationships/hyperlink" Target="../../../Contract/Specifications/20-20967/GCC-CC7-PF-00000-RQ-TSP-7002_00_1_Customer's_Specification_for_the_Supply_of_Pump_Units.pdf" TargetMode="External"/><Relationship Id="rId368" Type="http://schemas.openxmlformats.org/officeDocument/2006/relationships/hyperlink" Target="file:///\\runas02\GENERAL\Modules_Budgets\20-20965%20-%20BCC%20MDP%20AlphaB+H\ITB-16.03.21\06%20Scope%20of%20Work\ATTACHMENT%206.%20Scope%20of%20Work_LAO.pdf" TargetMode="External"/><Relationship Id="rId389" Type="http://schemas.openxmlformats.org/officeDocument/2006/relationships/hyperlink" Target="file:///\\runas02\GENERAL\Modules_Budgets\20-20965%20-%20BCC%20MDP%20AlphaB+H\ITB-16.03.21\06%20Scope%20of%20Work\ATTACHMENT%206.%20Scope%20of%20Work_LAO.pdf" TargetMode="External"/><Relationship Id="rId172" Type="http://schemas.openxmlformats.org/officeDocument/2006/relationships/hyperlink" Target="../../../Contract/Specifications/20-20967/GCC-CC7-PF-00000-SS-TSP-1002_00_1_General_Structural_Specification.pdf" TargetMode="External"/><Relationship Id="rId193" Type="http://schemas.openxmlformats.org/officeDocument/2006/relationships/hyperlink" Target="../../../Contract/Specifications/20-20967/GCC-CC7-PF-00000-PI-TSP-6002_00_3_Piping_Design_Specification.pdf" TargetMode="External"/><Relationship Id="rId207" Type="http://schemas.openxmlformats.org/officeDocument/2006/relationships/hyperlink" Target="../../../Contract/Specifications/20-20967/GCC-CC7-PF-00000-PI-TSP-6002_00_3_Piping_Design_Specification.pdf" TargetMode="External"/><Relationship Id="rId228" Type="http://schemas.openxmlformats.org/officeDocument/2006/relationships/hyperlink" Target="6.%20SOW/Annex%203_Technical%20Requirements,%20Technical%20Specifications/Technical%20Requirements,%20Technical%20Specifications/GCC-CC7-PM-00000-ME-TSP-00006_00_2.pdf" TargetMode="External"/><Relationship Id="rId249" Type="http://schemas.openxmlformats.org/officeDocument/2006/relationships/hyperlink" Target="6.%20SOW/Annex%203_Technical%20Requirements,%20Technical%20Specifications/Technical%20Requirements,%20Technical%20Specifications/GCC-CC7-PM-00000-ME-TSP-00006_00_2.pdf" TargetMode="External"/><Relationship Id="rId414" Type="http://schemas.openxmlformats.org/officeDocument/2006/relationships/hyperlink" Target="file:///\\runas02\GENERAL\Modules_Budgets\20-20965%20-%20BCC%20MDP%20AlphaB+H\ITB-16.03.21\06%20Scope%20of%20Work\ATTACHMENT%206.%20Scope%20of%20Work_LAO.pdf" TargetMode="External"/><Relationship Id="rId435" Type="http://schemas.openxmlformats.org/officeDocument/2006/relationships/hyperlink" Target="file:///\\runas02\GENERAL\Modules_Budgets\20-20965%20-%20BCC%20MDP%20AlphaB+H\ITB-16.03.21\06%20Scope%20of%20Work\ATTACHMENT%206.%20Scope%20of%20Work_LAO.pdf" TargetMode="External"/><Relationship Id="rId13" Type="http://schemas.openxmlformats.org/officeDocument/2006/relationships/hyperlink" Target="..\GCC-CC7-AXE-TRM-00001\GCC-CC7-PF-00000-ME-TSP-5006_00_1_Mechanical_Equipment_Design_Criteria.pdf" TargetMode="External"/><Relationship Id="rId109" Type="http://schemas.openxmlformats.org/officeDocument/2006/relationships/hyperlink" Target="../../../Contract/Specifications/20-20967/GCC-CC7-PF-00000-PC-TSP-5004_00_1_Process_Design_Criteria.pdf" TargetMode="External"/><Relationship Id="rId260" Type="http://schemas.openxmlformats.org/officeDocument/2006/relationships/hyperlink" Target="6.%20SOW/Annex%203_Technical%20Requirements,%20Technical%20Specifications/Technical%20Requirements,%20Technical%20Specifications/GCC-CC7-PM-00000-ME-TSP-00006_00_2.pdf" TargetMode="External"/><Relationship Id="rId281" Type="http://schemas.openxmlformats.org/officeDocument/2006/relationships/hyperlink" Target="6.%20SOW/Annex%203_Technical%20Requirements,%20Technical%20Specifications/Technical%20Requirements,%20Technical%20Specifications/GCC-CC7-PM-00000-ME-TSP-00006_00_2.pdf" TargetMode="External"/><Relationship Id="rId316" Type="http://schemas.openxmlformats.org/officeDocument/2006/relationships/hyperlink" Target="6.%20SOW/Annex%203_Technical%20Requirements,%20Technical%20Specifications/Technical%20Requirements,%20Technical%20Specifications/GCC-CC7-PM-00000-ME-TSP-00001_AA_2%20(1).pdf" TargetMode="External"/><Relationship Id="rId337" Type="http://schemas.openxmlformats.org/officeDocument/2006/relationships/hyperlink" Target="6.%20SOW/Annex%203_Technical%20Requirements,%20Technical%20Specifications/Technical%20Requirements,%20Technical%20Specifications/GCC-CC7-PM-00000-ME-TSP-00001_AA_2%20(1).pdf" TargetMode="External"/><Relationship Id="rId34" Type="http://schemas.openxmlformats.org/officeDocument/2006/relationships/hyperlink" Target="../../../Contract/Specifications/20-20967/GCC-CC7-PF-00000-CI-TSP-1001_00_3_General_Civil_Specification.pdf" TargetMode="External"/><Relationship Id="rId55" Type="http://schemas.openxmlformats.org/officeDocument/2006/relationships/hyperlink" Target="../../../Contract/Specifications/20-20967/GCC-CC7-PF-00000-ME-TSP-5006_00_1_Mechanical_Equipment_Design_Criteria.pdf" TargetMode="External"/><Relationship Id="rId76" Type="http://schemas.openxmlformats.org/officeDocument/2006/relationships/hyperlink" Target="../../../Contract/Specifications/20-20967/GCC-CC7-PF-00000-ME-TSP-5006_00_1_Mechanical_Equipment_Design_Criteria.pdf" TargetMode="External"/><Relationship Id="rId97" Type="http://schemas.openxmlformats.org/officeDocument/2006/relationships/hyperlink" Target="../../../Contract/Specifications/20-20967/GCC-CC7-PF-00000-PC-TSP-5004_00_1_Process_Design_Criteria.pdf" TargetMode="External"/><Relationship Id="rId120" Type="http://schemas.openxmlformats.org/officeDocument/2006/relationships/hyperlink" Target="../../../Contract/Specifications/20-20967/GCC-CC7-PF-00000-PE-TSP-7001_00_1_Requirements_for_Package_units.pdf" TargetMode="External"/><Relationship Id="rId141" Type="http://schemas.openxmlformats.org/officeDocument/2006/relationships/hyperlink" Target="../../../Contract/Specifications/20-20967/GCC-CC7-PF-00000-PE-TSP-7001_00_1_Requirements_for_Package_units.pdf" TargetMode="External"/><Relationship Id="rId358" Type="http://schemas.openxmlformats.org/officeDocument/2006/relationships/hyperlink" Target="file:///\\runas02\GENERAL\Modules_Budgets\20-20965%20-%20BCC%20MDP%20AlphaB+H\ITB-16.03.21\06%20Scope%20of%20Work\ATTACHMENT%206.%20Scope%20of%20Work_LAO.pdf" TargetMode="External"/><Relationship Id="rId379" Type="http://schemas.openxmlformats.org/officeDocument/2006/relationships/hyperlink" Target="file:///\\runas02\GENERAL\Modules_Budgets\20-20965%20-%20BCC%20MDP%20AlphaB+H\ITB-16.03.21\06%20Scope%20of%20Work\ATTACHMENT%206.%20Scope%20of%20Work_LAO.pdf" TargetMode="External"/><Relationship Id="rId7" Type="http://schemas.openxmlformats.org/officeDocument/2006/relationships/hyperlink" Target="../../../Contract/Specifications/20-20967/GCC-CC7-PF-00000-PE-TSP-7001_00_1_Requirements_for_Package_units.pdf" TargetMode="External"/><Relationship Id="rId162" Type="http://schemas.openxmlformats.org/officeDocument/2006/relationships/hyperlink" Target="../../../Contract/Specifications/20-20967/GCC-CC7-PF-00000-SQ-TSP-5012_00_1_Design_Specifications_for_Vessels_and_Apparatuses.pdf" TargetMode="External"/><Relationship Id="rId183" Type="http://schemas.openxmlformats.org/officeDocument/2006/relationships/hyperlink" Target="../../../Contract/Specifications/20-20967/GCC-CC7-PF-00000-EL-TSP-9011_00_3_Electrical_Requirements_for_Mechanical_Equipment.pdf" TargetMode="External"/><Relationship Id="rId218" Type="http://schemas.openxmlformats.org/officeDocument/2006/relationships/hyperlink" Target="6.%20SOW/Annex%203_Technical%20Requirements,%20Technical%20Specifications/Technical%20Requirements,%20Technical%20Specifications/GCC-CC7-PM-00000-ME-TSP-00006_00_2.pdf" TargetMode="External"/><Relationship Id="rId239" Type="http://schemas.openxmlformats.org/officeDocument/2006/relationships/hyperlink" Target="6.%20SOW/Annex%203_Technical%20Requirements,%20Technical%20Specifications/Technical%20Requirements,%20Technical%20Specifications/GCC-CC7-PM-00000-ME-TSP-00006_00_2.pdf" TargetMode="External"/><Relationship Id="rId390" Type="http://schemas.openxmlformats.org/officeDocument/2006/relationships/hyperlink" Target="file:///\\runas02\GENERAL\Modules_Budgets\20-20965%20-%20BCC%20MDP%20AlphaB+H\ITB-16.03.21\06%20Scope%20of%20Work\ATTACHMENT%206.%20Scope%20of%20Work_LAO.pdf" TargetMode="External"/><Relationship Id="rId404" Type="http://schemas.openxmlformats.org/officeDocument/2006/relationships/hyperlink" Target="file:///\\runas02\GENERAL\Modules_Budgets\20-20965%20-%20BCC%20MDP%20AlphaB+H\ITB-16.03.21\06%20Scope%20of%20Work\ATTACHMENT%206.%20Scope%20of%20Work_LAO.pdf" TargetMode="External"/><Relationship Id="rId425" Type="http://schemas.openxmlformats.org/officeDocument/2006/relationships/hyperlink" Target="file:///\\runas02\GENERAL\Modules_Budgets\20-20965%20-%20BCC%20MDP%20AlphaB+H\ITB-16.03.21\06%20Scope%20of%20Work\ATTACHMENT%206.%20Scope%20of%20Work_LAO.pdf" TargetMode="External"/><Relationship Id="rId250" Type="http://schemas.openxmlformats.org/officeDocument/2006/relationships/hyperlink" Target="6.%20SOW/Annex%203_Technical%20Requirements,%20Technical%20Specifications/Technical%20Requirements,%20Technical%20Specifications/GCC-CC7-PM-00000-ME-TSP-00006_00_2.pdf" TargetMode="External"/><Relationship Id="rId271" Type="http://schemas.openxmlformats.org/officeDocument/2006/relationships/hyperlink" Target="6.%20SOW/Annex%203_Technical%20Requirements,%20Technical%20Specifications/Technical%20Requirements,%20Technical%20Specifications/GCC-CC7-PM-00000-ME-TSP-00006_00_2.pdf" TargetMode="External"/><Relationship Id="rId292" Type="http://schemas.openxmlformats.org/officeDocument/2006/relationships/hyperlink" Target="6.%20SOW/Annex%203_Technical%20Requirements,%20Technical%20Specifications/Technical%20Requirements,%20Technical%20Specifications/GCC-CC7-PM-00000-ME-TSP-00006_00_2.pdf" TargetMode="External"/><Relationship Id="rId306" Type="http://schemas.openxmlformats.org/officeDocument/2006/relationships/hyperlink" Target="6.%20SOW/Annex%203_Technical%20Requirements,%20Technical%20Specifications/Technical%20Requirements,%20Technical%20Specifications/GCC-CC7-PM-00000-ME-TSP-00001_AA_2%20(1).pdf" TargetMode="External"/><Relationship Id="rId24" Type="http://schemas.openxmlformats.org/officeDocument/2006/relationships/hyperlink" Target="20-20967\GCC-CC7-PF-00000-RQ-TSP-7002_00_1_Customer's_Specification_for_the_Supply_of_Pump_Units.pdf" TargetMode="External"/><Relationship Id="rId45" Type="http://schemas.openxmlformats.org/officeDocument/2006/relationships/hyperlink" Target="../../../Contract/Specifications/20-20967/GCC-CC7-PF-00000-IN-TSP-8013_00_Bl.pdf" TargetMode="External"/><Relationship Id="rId66" Type="http://schemas.openxmlformats.org/officeDocument/2006/relationships/hyperlink" Target="../../../Contract/Specifications/20-20967/GCC-CC7-PF-00000-ME-TSP-5006_00_1_Mechanical_Equipment_Design_Criteria.pdf" TargetMode="External"/><Relationship Id="rId87" Type="http://schemas.openxmlformats.org/officeDocument/2006/relationships/hyperlink" Target="../../../Contract/Specifications/20-20967/GCC-CC7-PF-00000-OP-TSP-5003_00_1_Operating_and_Maintenance_Philosophy.pdf" TargetMode="External"/><Relationship Id="rId110" Type="http://schemas.openxmlformats.org/officeDocument/2006/relationships/hyperlink" Target="../../../Contract/Specifications/20-20967/GCC-CC7-PF-00000-PC-TSP-5004_00_1_Process_Design_Criteria.pdf" TargetMode="External"/><Relationship Id="rId131" Type="http://schemas.openxmlformats.org/officeDocument/2006/relationships/hyperlink" Target="../../../Contract/Specifications/20-20967/GCC-CC7-PF-00000-PE-TSP-7001_00_1_Requirements_for_Package_units.pdf" TargetMode="External"/><Relationship Id="rId327" Type="http://schemas.openxmlformats.org/officeDocument/2006/relationships/hyperlink" Target="6.%20SOW/Annex%203_Technical%20Requirements,%20Technical%20Specifications/Technical%20Requirements,%20Technical%20Specifications/GCC-CC7-PM-00000-ME-TSP-00001_AA_2%20(1).pdf" TargetMode="External"/><Relationship Id="rId348"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2_AA_2.pdf" TargetMode="External"/><Relationship Id="rId369" Type="http://schemas.openxmlformats.org/officeDocument/2006/relationships/hyperlink" Target="file:///\\runas02\GENERAL\Modules_Budgets\20-20965%20-%20BCC%20MDP%20AlphaB+H\ITB-16.03.21\06%20Scope%20of%20Work\ATTACHMENT%206.%20Scope%20of%20Work_LAO.pdf" TargetMode="External"/><Relationship Id="rId152" Type="http://schemas.openxmlformats.org/officeDocument/2006/relationships/hyperlink" Target="../../../Contract/Specifications/20-20967/GCC-CC7-PF-00000-RQ-TSP-7002_00_1_Customer's_Specification_for_the_Supply_of_Pump_Units.pdf" TargetMode="External"/><Relationship Id="rId173" Type="http://schemas.openxmlformats.org/officeDocument/2006/relationships/hyperlink" Target="../../../Contract/Specifications/20-20967/GCC-CC7-PF-00000-SS-TSP-1002_00_1_General_Structural_Specification.pdf" TargetMode="External"/><Relationship Id="rId194" Type="http://schemas.openxmlformats.org/officeDocument/2006/relationships/hyperlink" Target="../../../Contract/Specifications/20-20967/GCC-CC7-PF-00000-PI-TSP-6002_00_3_Piping_Design_Specification.pdf" TargetMode="External"/><Relationship Id="rId208" Type="http://schemas.openxmlformats.org/officeDocument/2006/relationships/hyperlink" Target="../../../Contract/Specifications/20-20967/GCC-CC7-PF-00000-PI-TSP-6002_00_3_Piping_Design_Specification.pdf" TargetMode="External"/><Relationship Id="rId229" Type="http://schemas.openxmlformats.org/officeDocument/2006/relationships/hyperlink" Target="6.%20SOW/Annex%203_Technical%20Requirements,%20Technical%20Specifications/Technical%20Requirements,%20Technical%20Specifications/GCC-CC7-PM-00000-ME-TSP-00006_00_2.pdf" TargetMode="External"/><Relationship Id="rId380" Type="http://schemas.openxmlformats.org/officeDocument/2006/relationships/hyperlink" Target="file:///\\runas02\GENERAL\Modules_Budgets\20-20965%20-%20BCC%20MDP%20AlphaB+H\ITB-16.03.21\06%20Scope%20of%20Work\ATTACHMENT%206.%20Scope%20of%20Work_LAO.pdf" TargetMode="External"/><Relationship Id="rId415" Type="http://schemas.openxmlformats.org/officeDocument/2006/relationships/hyperlink" Target="file:///\\runas02\GENERAL\Modules_Budgets\20-20965%20-%20BCC%20MDP%20AlphaB+H\ITB-16.03.21\06%20Scope%20of%20Work\ATTACHMENT%206.%20Scope%20of%20Work_LAO.pdf" TargetMode="External"/><Relationship Id="rId436" Type="http://schemas.openxmlformats.org/officeDocument/2006/relationships/hyperlink" Target="file:///\\runas02\GENERAL\Modules_Budgets\20-20965%20-%20BCC%20MDP%20AlphaB+H\ITB-16.03.21\06%20Scope%20of%20Work\ATTACHMENT%206.%20Scope%20of%20Work_LAO.pdf" TargetMode="External"/><Relationship Id="rId240" Type="http://schemas.openxmlformats.org/officeDocument/2006/relationships/hyperlink" Target="6.%20SOW/Annex%203_Technical%20Requirements,%20Technical%20Specifications/Technical%20Requirements,%20Technical%20Specifications/GCC-CC7-PM-00000-ME-TSP-00006_00_2.pdf" TargetMode="External"/><Relationship Id="rId261" Type="http://schemas.openxmlformats.org/officeDocument/2006/relationships/hyperlink" Target="6.%20SOW/Annex%203_Technical%20Requirements,%20Technical%20Specifications/Technical%20Requirements,%20Technical%20Specifications/GCC-CC7-PM-00000-ME-TSP-00006_00_2.pdf" TargetMode="External"/><Relationship Id="rId14" Type="http://schemas.openxmlformats.org/officeDocument/2006/relationships/hyperlink" Target="..\GCC-CC7-AXE-TRM-00001\GCC-CC7-PF-00000-ME-TSP-5006_00_1_Mechanical_Equipment_Design_Criteria.pdf" TargetMode="External"/><Relationship Id="rId35" Type="http://schemas.openxmlformats.org/officeDocument/2006/relationships/hyperlink" Target="..\..\..\Contract\Specifications\20-20967\GCC-CC7-PF-00000-CI-TSP-1001_00_3_General_Civil_Specification.pdf" TargetMode="External"/><Relationship Id="rId56" Type="http://schemas.openxmlformats.org/officeDocument/2006/relationships/hyperlink" Target="../../../Contract/Specifications/20-20967/GCC-CC7-PF-00000-ME-TSP-5006_00_1_Mechanical_Equipment_Design_Criteria.pdf" TargetMode="External"/><Relationship Id="rId77" Type="http://schemas.openxmlformats.org/officeDocument/2006/relationships/hyperlink" Target="../../../Contract/Specifications/20-20967/GCC-CC7-PF-00000-ME-TSP-5006_00_1_Mechanical_Equipment_Design_Criteria.pdf" TargetMode="External"/><Relationship Id="rId100" Type="http://schemas.openxmlformats.org/officeDocument/2006/relationships/hyperlink" Target="../../../Contract/Specifications/20-20967/GCC-CC7-PF-00000-PC-TSP-5004_00_1_Process_Design_Criteria.pdf" TargetMode="External"/><Relationship Id="rId282" Type="http://schemas.openxmlformats.org/officeDocument/2006/relationships/hyperlink" Target="6.%20SOW/Annex%203_Technical%20Requirements,%20Technical%20Specifications/Technical%20Requirements,%20Technical%20Specifications/GCC-CC7-PM-00000-ME-TSP-00006_00_2.pdf" TargetMode="External"/><Relationship Id="rId317" Type="http://schemas.openxmlformats.org/officeDocument/2006/relationships/hyperlink" Target="6.%20SOW/Annex%203_Technical%20Requirements,%20Technical%20Specifications/Technical%20Requirements,%20Technical%20Specifications/GCC-CC7-PM-00000-ME-TSP-00001_AA_2%20(1).pdf" TargetMode="External"/><Relationship Id="rId338" Type="http://schemas.openxmlformats.org/officeDocument/2006/relationships/hyperlink" Target="6.%20SOW/Annex%203_Technical%20Requirements,%20Technical%20Specifications/Technical%20Requirements,%20Technical%20Specifications/GCC-CC7-PM-00000-ME-TSP-00001_AA_2%20(1).pdf" TargetMode="External"/><Relationship Id="rId359" Type="http://schemas.openxmlformats.org/officeDocument/2006/relationships/hyperlink" Target="file:///\\runas02\GENERAL\Modules_Budgets\20-20965%20-%20BCC%20MDP%20AlphaB+H\ITB-16.03.21\06%20Scope%20of%20Work\ATTACHMENT%206.%20Scope%20of%20Work_LAO.pdf" TargetMode="External"/><Relationship Id="rId8" Type="http://schemas.openxmlformats.org/officeDocument/2006/relationships/hyperlink" Target="../../../Contract/Specifications/20-20967/GCC-CC7-PF-00000-ME-TSP-5006_00_1_Mechanical_Equipment_Design_Criteria.pdf" TargetMode="External"/><Relationship Id="rId98" Type="http://schemas.openxmlformats.org/officeDocument/2006/relationships/hyperlink" Target="../../../Contract/Specifications/20-20967/GCC-CC7-PF-00000-PC-TSP-5004_00_1_Process_Design_Criteria.pdf" TargetMode="External"/><Relationship Id="rId121" Type="http://schemas.openxmlformats.org/officeDocument/2006/relationships/hyperlink" Target="../../../Contract/Specifications/20-20967/GCC-CC7-PF-00000-PE-TSP-7001_00_1_Requirements_for_Package_units.pdf" TargetMode="External"/><Relationship Id="rId142" Type="http://schemas.openxmlformats.org/officeDocument/2006/relationships/hyperlink" Target="../../../Contract/Specifications/20-20967/GCC-CC7-PF-00000-PE-TSP-7001_00_1_Requirements_for_Package_units.pdf" TargetMode="External"/><Relationship Id="rId163" Type="http://schemas.openxmlformats.org/officeDocument/2006/relationships/hyperlink" Target="../../../Contract/Specifications/20-20967/GCC-CC7-PF-00000-SQ-TSP-5012_00_1_Design_Specifications_for_Vessels_and_Apparatuses.pdf" TargetMode="External"/><Relationship Id="rId184" Type="http://schemas.openxmlformats.org/officeDocument/2006/relationships/hyperlink" Target="../../../Contract/Specifications/20-20967/GCC-CC7-PF-00000-EL-TSP-9011_00_3_Electrical_Requirements_for_Mechanical_Equipment.pdf" TargetMode="External"/><Relationship Id="rId219" Type="http://schemas.openxmlformats.org/officeDocument/2006/relationships/hyperlink" Target="6.%20SOW/Annex%203_Technical%20Requirements,%20Technical%20Specifications/Technical%20Requirements,%20Technical%20Specifications/GCC-CC7-PM-00000-ME-TSP-00006_00_2.pdf" TargetMode="External"/><Relationship Id="rId370" Type="http://schemas.openxmlformats.org/officeDocument/2006/relationships/hyperlink" Target="file:///\\runas02\GENERAL\Modules_Budgets\20-20965%20-%20BCC%20MDP%20AlphaB+H\ITB-16.03.21\06%20Scope%20of%20Work\ATTACHMENT%206.%20Scope%20of%20Work_LAO.pdf" TargetMode="External"/><Relationship Id="rId391" Type="http://schemas.openxmlformats.org/officeDocument/2006/relationships/hyperlink" Target="file:///\\runas02\GENERAL\Modules_Budgets\20-20965%20-%20BCC%20MDP%20AlphaB+H\ITB-16.03.21\06%20Scope%20of%20Work\ATTACHMENT%206.%20Scope%20of%20Work_LAO.pdf" TargetMode="External"/><Relationship Id="rId405" Type="http://schemas.openxmlformats.org/officeDocument/2006/relationships/hyperlink" Target="file:///\\runas02\GENERAL\Modules_Budgets\20-20965%20-%20BCC%20MDP%20AlphaB+H\ITB-16.03.21\06%20Scope%20of%20Work\ATTACHMENT%206.%20Scope%20of%20Work_LAO.pdf" TargetMode="External"/><Relationship Id="rId426" Type="http://schemas.openxmlformats.org/officeDocument/2006/relationships/hyperlink" Target="file:///\\runas02\GENERAL\Modules_Budgets\20-20965%20-%20BCC%20MDP%20AlphaB+H\ITB-16.03.21\06%20Scope%20of%20Work\ATTACHMENT%206.%20Scope%20of%20Work_LAO.pdf" TargetMode="External"/><Relationship Id="rId230" Type="http://schemas.openxmlformats.org/officeDocument/2006/relationships/hyperlink" Target="6.%20SOW/Annex%203_Technical%20Requirements,%20Technical%20Specifications/Technical%20Requirements,%20Technical%20Specifications/GCC-CC7-PM-00000-ME-TSP-00006_00_2.pdf" TargetMode="External"/><Relationship Id="rId251" Type="http://schemas.openxmlformats.org/officeDocument/2006/relationships/hyperlink" Target="6.%20SOW/Annex%203_Technical%20Requirements,%20Technical%20Specifications/Technical%20Requirements,%20Technical%20Specifications/GCC-CC7-PM-00000-ME-TSP-00006_00_2.pdf" TargetMode="External"/><Relationship Id="rId25" Type="http://schemas.openxmlformats.org/officeDocument/2006/relationships/hyperlink" Target="20-20967\GCC-CC7-PF-00000-RQ-TSP-7002_00_1_Customer's_Specification_for_the_Supply_of_Pump_Units.pdf" TargetMode="External"/><Relationship Id="rId46" Type="http://schemas.openxmlformats.org/officeDocument/2006/relationships/hyperlink" Target="../../../Contract/Specifications/20-20967/GCC-CC7-PF-00000-IN-TSP-8013_00_Bl.pdf" TargetMode="External"/><Relationship Id="rId67" Type="http://schemas.openxmlformats.org/officeDocument/2006/relationships/hyperlink" Target="../../../Contract/Specifications/20-20967/GCC-CC7-PF-00000-ME-TSP-5006_00_1_Mechanical_Equipment_Design_Criteria.pdf" TargetMode="External"/><Relationship Id="rId272" Type="http://schemas.openxmlformats.org/officeDocument/2006/relationships/hyperlink" Target="6.%20SOW/Annex%203_Technical%20Requirements,%20Technical%20Specifications/Technical%20Requirements,%20Technical%20Specifications/GCC-CC7-PM-00000-ME-TSP-00006_00_2.pdf" TargetMode="External"/><Relationship Id="rId293" Type="http://schemas.openxmlformats.org/officeDocument/2006/relationships/hyperlink" Target="6.%20SOW/Annex%203_Technical%20Requirements,%20Technical%20Specifications/Technical%20Requirements,%20Technical%20Specifications/GCC-CC7-PM-00000-ME-TSP-00006_00_2.pdf" TargetMode="External"/><Relationship Id="rId307" Type="http://schemas.openxmlformats.org/officeDocument/2006/relationships/hyperlink" Target="6.%20SOW/Annex%203_Technical%20Requirements,%20Technical%20Specifications/Technical%20Requirements,%20Technical%20Specifications/GCC-CC7-PM-00000-ME-TSP-00001_AA_2%20(1).pdf" TargetMode="External"/><Relationship Id="rId328" Type="http://schemas.openxmlformats.org/officeDocument/2006/relationships/hyperlink" Target="6.%20SOW/Annex%203_Technical%20Requirements,%20Technical%20Specifications/Technical%20Requirements,%20Technical%20Specifications/GCC-CC7-PM-00000-ME-TSP-00001_AA_2%20(1).pdf" TargetMode="External"/><Relationship Id="rId349"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2_AA_2.pdf" TargetMode="External"/><Relationship Id="rId88" Type="http://schemas.openxmlformats.org/officeDocument/2006/relationships/hyperlink" Target="../../../Contract/Specifications/20-20967/GCC-CC7-PF-00000-OP-TSP-5003_00_1_Operating_and_Maintenance_Philosophy.pdf" TargetMode="External"/><Relationship Id="rId111" Type="http://schemas.openxmlformats.org/officeDocument/2006/relationships/hyperlink" Target="../../../Contract/Specifications/20-20967/GCC-CC7-PF-00000-PC-TSP-5004_00_1_Process_Design_Criteria.pdf" TargetMode="External"/><Relationship Id="rId132" Type="http://schemas.openxmlformats.org/officeDocument/2006/relationships/hyperlink" Target="../../../Contract/Specifications/20-20967/GCC-CC7-PF-00000-PE-TSP-7001_00_1_Requirements_for_Package_units.pdf" TargetMode="External"/><Relationship Id="rId153" Type="http://schemas.openxmlformats.org/officeDocument/2006/relationships/hyperlink" Target="../../../Contract/Specifications/20-20967/GCC-CC7-PF-00000-RQ-TSP-7002_00_1_Customer's_Specification_for_the_Supply_of_Pump_Units.pdf" TargetMode="External"/><Relationship Id="rId174" Type="http://schemas.openxmlformats.org/officeDocument/2006/relationships/hyperlink" Target="../../../Contract/Specifications/20-20967/GCC-CC7-PF-00000-SS-TSP-1002_00_1_General_Structural_Specification.pdf" TargetMode="External"/><Relationship Id="rId195" Type="http://schemas.openxmlformats.org/officeDocument/2006/relationships/hyperlink" Target="../../../Contract/Specifications/20-20967/GCC-CC7-PF-00000-PI-TSP-6002_00_3_Piping_Design_Specification.pdf" TargetMode="External"/><Relationship Id="rId209" Type="http://schemas.openxmlformats.org/officeDocument/2006/relationships/hyperlink" Target="../../../Contract/Specifications/20-20967/GCC-CC7-PF-00000-PI-TSP-6002_00_3_Piping_Design_Specification.pdf" TargetMode="External"/><Relationship Id="rId360" Type="http://schemas.openxmlformats.org/officeDocument/2006/relationships/hyperlink" Target="file:///\\runas02\GENERAL\Modules_Budgets\20-20965%20-%20BCC%20MDP%20AlphaB+H\ITB-16.03.21\06%20Scope%20of%20Work\ATTACHMENT%206.%20Scope%20of%20Work_LAO.pdf" TargetMode="External"/><Relationship Id="rId381" Type="http://schemas.openxmlformats.org/officeDocument/2006/relationships/hyperlink" Target="file:///\\runas02\GENERAL\Modules_Budgets\20-20965%20-%20BCC%20MDP%20AlphaB+H\ITB-16.03.21\06%20Scope%20of%20Work\ATTACHMENT%206.%20Scope%20of%20Work_LAO.pdf" TargetMode="External"/><Relationship Id="rId416" Type="http://schemas.openxmlformats.org/officeDocument/2006/relationships/hyperlink" Target="file:///\\runas02\GENERAL\Modules_Budgets\20-20965%20-%20BCC%20MDP%20AlphaB+H\ITB-16.03.21\06%20Scope%20of%20Work\ATTACHMENT%206.%20Scope%20of%20Work_LAO.pdf" TargetMode="External"/><Relationship Id="rId220" Type="http://schemas.openxmlformats.org/officeDocument/2006/relationships/hyperlink" Target="6.%20SOW/Annex%203_Technical%20Requirements,%20Technical%20Specifications/Technical%20Requirements,%20Technical%20Specifications/GCC-CC7-PM-00000-ME-TSP-00006_00_2.pdf" TargetMode="External"/><Relationship Id="rId241" Type="http://schemas.openxmlformats.org/officeDocument/2006/relationships/hyperlink" Target="6.%20SOW/Annex%203_Technical%20Requirements,%20Technical%20Specifications/Technical%20Requirements,%20Technical%20Specifications/GCC-CC7-PM-00000-ME-TSP-00006_00_2.pdf" TargetMode="External"/><Relationship Id="rId437" Type="http://schemas.openxmlformats.org/officeDocument/2006/relationships/hyperlink" Target="file:///\\runas02\GENERAL\Modules_Budgets\20-20965%20-%20BCC%20MDP%20AlphaB+H\ITB-16.03.21\06%20Scope%20of%20Work\ATTACHMENT%206.%20Scope%20of%20Work_LAO.pdf" TargetMode="External"/><Relationship Id="rId15" Type="http://schemas.openxmlformats.org/officeDocument/2006/relationships/hyperlink" Target="..\GCC-CC7-AXE-TRM-00001\GCC-CC7-PF-00000-ME-TSP-5006_00_1_Mechanical_Equipment_Design_Criteria.pdf" TargetMode="External"/><Relationship Id="rId36" Type="http://schemas.openxmlformats.org/officeDocument/2006/relationships/hyperlink" Target="../../../Contract/Specifications/20-20967/GCC-CC7-PF-00000-CI-TSP-1001_00_3_General_Civil_Specification.pdf" TargetMode="External"/><Relationship Id="rId57" Type="http://schemas.openxmlformats.org/officeDocument/2006/relationships/hyperlink" Target="../../../Contract/Specifications/20-20967/GCC-CC7-PF-00000-ME-TSP-5006_00_1_Mechanical_Equipment_Design_Criteria.pdf" TargetMode="External"/><Relationship Id="rId262" Type="http://schemas.openxmlformats.org/officeDocument/2006/relationships/hyperlink" Target="6.%20SOW/Annex%203_Technical%20Requirements,%20Technical%20Specifications/Technical%20Requirements,%20Technical%20Specifications/GCC-CC7-PM-00000-ME-TSP-00006_00_2.pdf" TargetMode="External"/><Relationship Id="rId283" Type="http://schemas.openxmlformats.org/officeDocument/2006/relationships/hyperlink" Target="6.%20SOW/Annex%203_Technical%20Requirements,%20Technical%20Specifications/Technical%20Requirements,%20Technical%20Specifications/GCC-CC7-PM-00000-ME-TSP-00006_00_2.pdf" TargetMode="External"/><Relationship Id="rId318" Type="http://schemas.openxmlformats.org/officeDocument/2006/relationships/hyperlink" Target="6.%20SOW/Annex%203_Technical%20Requirements,%20Technical%20Specifications/Technical%20Requirements,%20Technical%20Specifications/GCC-CC7-PM-00000-ME-TSP-00001_AA_2%20(1).pdf" TargetMode="External"/><Relationship Id="rId339" Type="http://schemas.openxmlformats.org/officeDocument/2006/relationships/hyperlink" Target="6.%20SOW/Annex%203_Technical%20Requirements,%20Technical%20Specifications/Technical%20Requirements,%20Technical%20Specifications/GCC-CC7-PM-00000-ME-TSP-00001_AA_2%20(1).pdf" TargetMode="External"/><Relationship Id="rId78" Type="http://schemas.openxmlformats.org/officeDocument/2006/relationships/hyperlink" Target="../../../Contract/Specifications/20-20967/GCC-CC7-PF-00000-ME-TSP-5006_00_1_Mechanical_Equipment_Design_Criteria.pdf" TargetMode="External"/><Relationship Id="rId99" Type="http://schemas.openxmlformats.org/officeDocument/2006/relationships/hyperlink" Target="../../../Contract/Specifications/20-20967/GCC-CC7-PF-00000-PC-TSP-5004_00_1_Process_Design_Criteria.pdf" TargetMode="External"/><Relationship Id="rId101" Type="http://schemas.openxmlformats.org/officeDocument/2006/relationships/hyperlink" Target="../../../Contract/Specifications/20-20967/GCC-CC7-PF-00000-PC-TSP-5004_00_1_Process_Design_Criteria.pdf" TargetMode="External"/><Relationship Id="rId122" Type="http://schemas.openxmlformats.org/officeDocument/2006/relationships/hyperlink" Target="../../../Contract/Specifications/20-20967/GCC-CC7-PF-00000-PE-TSP-7001_00_1_Requirements_for_Package_units.pdf" TargetMode="External"/><Relationship Id="rId143" Type="http://schemas.openxmlformats.org/officeDocument/2006/relationships/hyperlink" Target="../../../Contract/Specifications/20-20967/GCC-CC7-PF-00000-PE-TSP-7001_00_1_Requirements_for_Package_units.pdf" TargetMode="External"/><Relationship Id="rId164" Type="http://schemas.openxmlformats.org/officeDocument/2006/relationships/hyperlink" Target="../../../Contract/Specifications/20-20967/GCC-CC7-PF-00000-SQ-TSP-5012_00_1_Design_Specifications_for_Vessels_and_Apparatuses.pdf" TargetMode="External"/><Relationship Id="rId185" Type="http://schemas.openxmlformats.org/officeDocument/2006/relationships/hyperlink" Target="../../../Contract/Specifications/20-20967/GCC-CC7-PF-00000-EL-TSP-9011_00_3_Electrical_Requirements_for_Mechanical_Equipment.pdf" TargetMode="External"/><Relationship Id="rId350"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2_AA_2.pdf" TargetMode="External"/><Relationship Id="rId371" Type="http://schemas.openxmlformats.org/officeDocument/2006/relationships/hyperlink" Target="file:///\\runas02\GENERAL\Modules_Budgets\20-20965%20-%20BCC%20MDP%20AlphaB+H\ITB-16.03.21\06%20Scope%20of%20Work\ATTACHMENT%206.%20Scope%20of%20Work_LAO.pdf" TargetMode="External"/><Relationship Id="rId406" Type="http://schemas.openxmlformats.org/officeDocument/2006/relationships/hyperlink" Target="file:///\\runas02\GENERAL\Modules_Budgets\20-20965%20-%20BCC%20MDP%20AlphaB+H\ITB-16.03.21\06%20Scope%20of%20Work\ATTACHMENT%206.%20Scope%20of%20Work_LAO.pdf" TargetMode="External"/><Relationship Id="rId9" Type="http://schemas.openxmlformats.org/officeDocument/2006/relationships/hyperlink" Target="..\GCC-CC7-AXE-TRM-00001\GCC-CC7-PF-00000-ME-TSP-5006_00_1_Mechanical_Equipment_Design_Criteria.pdf" TargetMode="External"/><Relationship Id="rId210" Type="http://schemas.openxmlformats.org/officeDocument/2006/relationships/hyperlink" Target="../../../Contract/Specifications/20-20967/GCC-CC7-PF-00000-IS-TSP-6008_00_3_Heat_Insulation__Piping_and_Equipment.pdf" TargetMode="External"/><Relationship Id="rId392" Type="http://schemas.openxmlformats.org/officeDocument/2006/relationships/hyperlink" Target="file:///\\runas02\GENERAL\Modules_Budgets\20-20965%20-%20BCC%20MDP%20AlphaB+H\ITB-16.03.21\06%20Scope%20of%20Work\ATTACHMENT%206.%20Scope%20of%20Work_LAO.pdf" TargetMode="External"/><Relationship Id="rId427" Type="http://schemas.openxmlformats.org/officeDocument/2006/relationships/hyperlink" Target="file:///\\runas02\GENERAL\Modules_Budgets\20-20965%20-%20BCC%20MDP%20AlphaB+H\ITB-16.03.21\06%20Scope%20of%20Work\ATTACHMENT%206.%20Scope%20of%20Work_LAO.pdf" TargetMode="External"/><Relationship Id="rId26" Type="http://schemas.openxmlformats.org/officeDocument/2006/relationships/hyperlink" Target="20-20967\GCC-CC7-PF-00000-RQ-TSP-7002_00_1_Customer's_Specification_for_the_Supply_of_Pump_Units.pdf" TargetMode="External"/><Relationship Id="rId231" Type="http://schemas.openxmlformats.org/officeDocument/2006/relationships/hyperlink" Target="6.%20SOW/Annex%203_Technical%20Requirements,%20Technical%20Specifications/Technical%20Requirements,%20Technical%20Specifications/GCC-CC7-PM-00000-ME-TSP-00006_00_2.pdf" TargetMode="External"/><Relationship Id="rId252" Type="http://schemas.openxmlformats.org/officeDocument/2006/relationships/hyperlink" Target="6.%20SOW/Annex%203_Technical%20Requirements,%20Technical%20Specifications/Technical%20Requirements,%20Technical%20Specifications/GCC-CC7-PM-00000-ME-TSP-00006_00_2.pdf" TargetMode="External"/><Relationship Id="rId273" Type="http://schemas.openxmlformats.org/officeDocument/2006/relationships/hyperlink" Target="6.%20SOW/Annex%203_Technical%20Requirements,%20Technical%20Specifications/Technical%20Requirements,%20Technical%20Specifications/GCC-CC7-PM-00000-ME-TSP-00006_00_2.pdf" TargetMode="External"/><Relationship Id="rId294" Type="http://schemas.openxmlformats.org/officeDocument/2006/relationships/hyperlink" Target="6.%20SOW/Annex%203_Technical%20Requirements,%20Technical%20Specifications/Technical%20Requirements,%20Technical%20Specifications/GCC-CC7-PM-00000-ME-TSP-00001_AA_2%20(1).pdf" TargetMode="External"/><Relationship Id="rId308" Type="http://schemas.openxmlformats.org/officeDocument/2006/relationships/hyperlink" Target="6.%20SOW/Annex%203_Technical%20Requirements,%20Technical%20Specifications/Technical%20Requirements,%20Technical%20Specifications/GCC-CC7-PM-00000-ME-TSP-00001_AA_2%20(1).pdf" TargetMode="External"/><Relationship Id="rId329" Type="http://schemas.openxmlformats.org/officeDocument/2006/relationships/hyperlink" Target="6.%20SOW/Annex%203_Technical%20Requirements,%20Technical%20Specifications/Technical%20Requirements,%20Technical%20Specifications/GCC-CC7-PM-00000-ME-TSP-00001_AA_2%20(1).pdf" TargetMode="External"/><Relationship Id="rId47" Type="http://schemas.openxmlformats.org/officeDocument/2006/relationships/hyperlink" Target="../../../Contract/Specifications/20-20967/GCC-CC7-PF-00000-IN-TSP-8013_00_Bl.pdf" TargetMode="External"/><Relationship Id="rId68" Type="http://schemas.openxmlformats.org/officeDocument/2006/relationships/hyperlink" Target="../../../Contract/Specifications/20-20967/GCC-CC7-PF-00000-ME-TSP-5006_00_1_Mechanical_Equipment_Design_Criteria.pdf" TargetMode="External"/><Relationship Id="rId89" Type="http://schemas.openxmlformats.org/officeDocument/2006/relationships/hyperlink" Target="../../../Contract/Specifications/20-20967/GCC-CC7-PF-00000-OP-TSP-5003_00_1_Operating_and_Maintenance_Philosophy.pdf" TargetMode="External"/><Relationship Id="rId112" Type="http://schemas.openxmlformats.org/officeDocument/2006/relationships/hyperlink" Target="../../../Contract/Specifications/20-20967/GCC-CC7-PF-00000-PC-TSP-5004_00_1_Process_Design_Criteria.pdf" TargetMode="External"/><Relationship Id="rId133" Type="http://schemas.openxmlformats.org/officeDocument/2006/relationships/hyperlink" Target="../../../Contract/Specifications/20-20967/GCC-CC7-PF-00000-PE-TSP-7001_00_1_Requirements_for_Package_units.pdf" TargetMode="External"/><Relationship Id="rId154" Type="http://schemas.openxmlformats.org/officeDocument/2006/relationships/hyperlink" Target="../../../Contract/Specifications/20-20967/GCC-CC7-PF-00000-RQ-TSP-7002_00_1_Customer's_Specification_for_the_Supply_of_Pump_Units.pdf" TargetMode="External"/><Relationship Id="rId175" Type="http://schemas.openxmlformats.org/officeDocument/2006/relationships/hyperlink" Target="../../../Contract/Specifications/20-20967/GCC-CC7-PF-00000-SS-TSP-1002_00_1_General_Structural_Specification.pdf" TargetMode="External"/><Relationship Id="rId340" Type="http://schemas.openxmlformats.org/officeDocument/2006/relationships/hyperlink" Target="6.%20SOW/Annex%203_Technical%20Requirements,%20Technical%20Specifications/Technical%20Requirements,%20Technical%20Specifications/GCC-CC7-PM-00000-ME-TSP-00001_AA_2%20(1).pdf" TargetMode="External"/><Relationship Id="rId361" Type="http://schemas.openxmlformats.org/officeDocument/2006/relationships/hyperlink" Target="file:///\\runas02\GENERAL\Modules_Budgets\20-20965%20-%20BCC%20MDP%20AlphaB+H\ITB-16.03.21\06%20Scope%20of%20Work\ATTACHMENT%206.%20Scope%20of%20Work_LAO.pdf" TargetMode="External"/><Relationship Id="rId196" Type="http://schemas.openxmlformats.org/officeDocument/2006/relationships/hyperlink" Target="../../../Contract/Specifications/20-20967/GCC-CC7-PF-00000-PI-TSP-6002_00_3_Piping_Design_Specification.pdf" TargetMode="External"/><Relationship Id="rId200" Type="http://schemas.openxmlformats.org/officeDocument/2006/relationships/hyperlink" Target="../../../Contract/Specifications/20-20967/GCC-CC7-PF-00000-PI-TSP-6002_00_3_Piping_Design_Specification.pdf" TargetMode="External"/><Relationship Id="rId382" Type="http://schemas.openxmlformats.org/officeDocument/2006/relationships/hyperlink" Target="file:///\\runas02\GENERAL\Modules_Budgets\20-20965%20-%20BCC%20MDP%20AlphaB+H\ITB-16.03.21\06%20Scope%20of%20Work\ATTACHMENT%206.%20Scope%20of%20Work_LAO.pdf" TargetMode="External"/><Relationship Id="rId417" Type="http://schemas.openxmlformats.org/officeDocument/2006/relationships/hyperlink" Target="file:///\\runas02\GENERAL\Modules_Budgets\20-20965%20-%20BCC%20MDP%20AlphaB+H\ITB-16.03.21\06%20Scope%20of%20Work\ATTACHMENT%206.%20Scope%20of%20Work_LAO.pdf" TargetMode="External"/><Relationship Id="rId438" Type="http://schemas.openxmlformats.org/officeDocument/2006/relationships/hyperlink" Target="file:///\\runas02\GENERAL\Modules_Budgets\20-20965%20-%20BCC%20MDP%20AlphaB+H\ITB-16.03.21\06%20Scope%20of%20Work\Annex%203_Technical%20Requirements,%20Technical%20Specifications\Technical%20Requirements,%20Technical%20Specifications\GCC-CC7-PM-00000-CI-TSP-00002_AA_1.pdf" TargetMode="External"/><Relationship Id="rId16" Type="http://schemas.openxmlformats.org/officeDocument/2006/relationships/hyperlink" Target="../../../Contract/Specifications/20-20967/GCC-CC7-PF-00000-FF-TSP-3008_00_1_PSTS_Development_Specifications.pdf" TargetMode="External"/><Relationship Id="rId221" Type="http://schemas.openxmlformats.org/officeDocument/2006/relationships/hyperlink" Target="6.%20SOW/Annex%203_Technical%20Requirements,%20Technical%20Specifications/Technical%20Requirements,%20Technical%20Specifications/GCC-CC7-PM-00000-ME-TSP-00006_00_2.pdf" TargetMode="External"/><Relationship Id="rId242" Type="http://schemas.openxmlformats.org/officeDocument/2006/relationships/hyperlink" Target="6.%20SOW/Annex%203_Technical%20Requirements,%20Technical%20Specifications/Technical%20Requirements,%20Technical%20Specifications/GCC-CC7-PM-00000-ME-TSP-00006_00_2.pdf" TargetMode="External"/><Relationship Id="rId263" Type="http://schemas.openxmlformats.org/officeDocument/2006/relationships/hyperlink" Target="6.%20SOW/Annex%203_Technical%20Requirements,%20Technical%20Specifications/Technical%20Requirements,%20Technical%20Specifications/GCC-CC7-PM-00000-ME-TSP-00006_00_2.pdf" TargetMode="External"/><Relationship Id="rId284" Type="http://schemas.openxmlformats.org/officeDocument/2006/relationships/hyperlink" Target="6.%20SOW/Annex%203_Technical%20Requirements,%20Technical%20Specifications/Technical%20Requirements,%20Technical%20Specifications/GCC-CC7-PM-00000-ME-TSP-00006_00_2.pdf" TargetMode="External"/><Relationship Id="rId319" Type="http://schemas.openxmlformats.org/officeDocument/2006/relationships/hyperlink" Target="6.%20SOW/Annex%203_Technical%20Requirements,%20Technical%20Specifications/Technical%20Requirements,%20Technical%20Specifications/GCC-CC7-PM-00000-ME-TSP-00001_AA_2%20(1).pdf" TargetMode="External"/><Relationship Id="rId37" Type="http://schemas.openxmlformats.org/officeDocument/2006/relationships/hyperlink" Target="../../../Contract/Specifications/20-20967/GCC-CC7-PF-00000-CI-TSP-1001_00_3_General_Civil_Specification.pdf" TargetMode="External"/><Relationship Id="rId58" Type="http://schemas.openxmlformats.org/officeDocument/2006/relationships/hyperlink" Target="../../../Contract/Specifications/20-20967/GCC-CC7-PF-00000-ME-TSP-5006_00_1_Mechanical_Equipment_Design_Criteria.pdf" TargetMode="External"/><Relationship Id="rId79" Type="http://schemas.openxmlformats.org/officeDocument/2006/relationships/hyperlink" Target="../../../Contract/Specifications/20-20967/GCC-CC7-PF-00000-ME-TSP-5006_00_1_Mechanical_Equipment_Design_Criteria.pdf" TargetMode="External"/><Relationship Id="rId102" Type="http://schemas.openxmlformats.org/officeDocument/2006/relationships/hyperlink" Target="../../../Contract/Specifications/20-20967/GCC-CC7-PF-00000-PC-TSP-5004_00_1_Process_Design_Criteria.pdf" TargetMode="External"/><Relationship Id="rId123" Type="http://schemas.openxmlformats.org/officeDocument/2006/relationships/hyperlink" Target="../../../Contract/Specifications/20-20967/GCC-CC7-PF-00000-PE-TSP-7001_00_1_Requirements_for_Package_units.pdf" TargetMode="External"/><Relationship Id="rId144" Type="http://schemas.openxmlformats.org/officeDocument/2006/relationships/hyperlink" Target="../../../Contract/Specifications/20-20967/GCC-CC7-PF-00000-PE-TSP-7001_00_1_Requirements_for_Package_units.pdf" TargetMode="External"/><Relationship Id="rId330" Type="http://schemas.openxmlformats.org/officeDocument/2006/relationships/hyperlink" Target="6.%20SOW/Annex%203_Technical%20Requirements,%20Technical%20Specifications/Technical%20Requirements,%20Technical%20Specifications/GCC-CC7-PM-00000-ME-TSP-00001_AA_2%20(1).pdf" TargetMode="External"/><Relationship Id="rId90" Type="http://schemas.openxmlformats.org/officeDocument/2006/relationships/hyperlink" Target="../../../Contract/Specifications/20-20967/GCC-CC7-PF-00000-PA-TSP-5007_00_1_EQUIPMENT_AND_PIPING_PAINTING_SPECIFICATION.pdf" TargetMode="External"/><Relationship Id="rId165" Type="http://schemas.openxmlformats.org/officeDocument/2006/relationships/hyperlink" Target="../../../Contract/Specifications/20-20967/GCC-CC7-PF-00000-SQ-TSP-5012_00_1_Design_Specifications_for_Vessels_and_Apparatuses.pdf" TargetMode="External"/><Relationship Id="rId186" Type="http://schemas.openxmlformats.org/officeDocument/2006/relationships/hyperlink" Target="../../../Contract/Specifications/20-20967/GCC-CC7-PF-00000-EL-TSP-9011_00_3_Electrical_Requirements_for_Mechanical_Equipment.pdf" TargetMode="External"/><Relationship Id="rId351"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2_AA_2.pdf" TargetMode="External"/><Relationship Id="rId372" Type="http://schemas.openxmlformats.org/officeDocument/2006/relationships/hyperlink" Target="file:///\\runas02\GENERAL\Modules_Budgets\20-20965%20-%20BCC%20MDP%20AlphaB+H\ITB-16.03.21\06%20Scope%20of%20Work\ATTACHMENT%206.%20Scope%20of%20Work_LAO.pdf" TargetMode="External"/><Relationship Id="rId393" Type="http://schemas.openxmlformats.org/officeDocument/2006/relationships/hyperlink" Target="file:///\\runas02\GENERAL\Modules_Budgets\20-20965%20-%20BCC%20MDP%20AlphaB+H\ITB-16.03.21\06%20Scope%20of%20Work\ATTACHMENT%206.%20Scope%20of%20Work_LAO.pdf" TargetMode="External"/><Relationship Id="rId407" Type="http://schemas.openxmlformats.org/officeDocument/2006/relationships/hyperlink" Target="file:///\\runas02\GENERAL\Modules_Budgets\20-20965%20-%20BCC%20MDP%20AlphaB+H\ITB-16.03.21\06%20Scope%20of%20Work\ATTACHMENT%206.%20Scope%20of%20Work_LAO.pdf" TargetMode="External"/><Relationship Id="rId428" Type="http://schemas.openxmlformats.org/officeDocument/2006/relationships/hyperlink" Target="file:///\\runas02\GENERAL\Modules_Budgets\20-20965%20-%20BCC%20MDP%20AlphaB+H\ITB-16.03.21\06%20Scope%20of%20Work\ATTACHMENT%206.%20Scope%20of%20Work_LAO.pdf" TargetMode="External"/><Relationship Id="rId211" Type="http://schemas.openxmlformats.org/officeDocument/2006/relationships/hyperlink" Target="../../../Contract/Specifications/20-20967/GCC-CC7-PF-00000-IS-TSP-6008_00_3_Heat_Insulation__Piping_and_Equipment.pdf" TargetMode="External"/><Relationship Id="rId232" Type="http://schemas.openxmlformats.org/officeDocument/2006/relationships/hyperlink" Target="6.%20SOW/Annex%203_Technical%20Requirements,%20Technical%20Specifications/Technical%20Requirements,%20Technical%20Specifications/GCC-CC7-PM-00000-ME-TSP-00006_00_2.pdf" TargetMode="External"/><Relationship Id="rId253" Type="http://schemas.openxmlformats.org/officeDocument/2006/relationships/hyperlink" Target="6.%20SOW/Annex%203_Technical%20Requirements,%20Technical%20Specifications/Technical%20Requirements,%20Technical%20Specifications/GCC-CC7-PM-00000-ME-TSP-00006_00_2.pdf" TargetMode="External"/><Relationship Id="rId274" Type="http://schemas.openxmlformats.org/officeDocument/2006/relationships/hyperlink" Target="6.%20SOW/Annex%203_Technical%20Requirements,%20Technical%20Specifications/Technical%20Requirements,%20Technical%20Specifications/GCC-CC7-PM-00000-ME-TSP-00006_00_2.pdf" TargetMode="External"/><Relationship Id="rId295" Type="http://schemas.openxmlformats.org/officeDocument/2006/relationships/hyperlink" Target="6.%20SOW/Annex%203_Technical%20Requirements,%20Technical%20Specifications/Technical%20Requirements,%20Technical%20Specifications/GCC-CC7-PM-00000-ME-TSP-00001_AA_2%20(1).pdf" TargetMode="External"/><Relationship Id="rId309" Type="http://schemas.openxmlformats.org/officeDocument/2006/relationships/hyperlink" Target="6.%20SOW/Annex%203_Technical%20Requirements,%20Technical%20Specifications/Technical%20Requirements,%20Technical%20Specifications/GCC-CC7-PM-00000-ME-TSP-00001_AA_2%20(1).pdf" TargetMode="External"/><Relationship Id="rId27" Type="http://schemas.openxmlformats.org/officeDocument/2006/relationships/hyperlink" Target="../../../Contract/Specifications/20-20967/GCC-CC7-PF-00000-IN-TSP-8013_00_Bl.pdf" TargetMode="External"/><Relationship Id="rId48" Type="http://schemas.openxmlformats.org/officeDocument/2006/relationships/hyperlink" Target="../../../Contract/Specifications/20-20967/GCC-CC7-PF-00000-IN-TSP-8013_00_Bl.pdf" TargetMode="External"/><Relationship Id="rId69" Type="http://schemas.openxmlformats.org/officeDocument/2006/relationships/hyperlink" Target="../../../Contract/Specifications/20-20967/GCC-CC7-PF-00000-ME-TSP-5006_00_1_Mechanical_Equipment_Design_Criteria.pdf" TargetMode="External"/><Relationship Id="rId113" Type="http://schemas.openxmlformats.org/officeDocument/2006/relationships/hyperlink" Target="../../../Contract/Specifications/20-20967/GCC-CC7-PF-00000-PE-TSP-1005_00_2Conceptual_Exterior_Colour_Scheme_of_Buildings_and_Structures.pdf" TargetMode="External"/><Relationship Id="rId134" Type="http://schemas.openxmlformats.org/officeDocument/2006/relationships/hyperlink" Target="..\..\..\Contract\Specifications\20-20967\GCC-CC7-PF-00000-PE-TSP-7001_00_1_Requirements_for_Package_units.pdf" TargetMode="External"/><Relationship Id="rId320" Type="http://schemas.openxmlformats.org/officeDocument/2006/relationships/hyperlink" Target="6.%20SOW/Annex%203_Technical%20Requirements,%20Technical%20Specifications/Technical%20Requirements,%20Technical%20Specifications/GCC-CC7-PM-00000-ME-TSP-00001_AA_2%20(1).pdf" TargetMode="External"/><Relationship Id="rId80" Type="http://schemas.openxmlformats.org/officeDocument/2006/relationships/hyperlink" Target="../../../Contract/Specifications/20-20967/GCC-CC7-PF-00000-ME-TSP-5006_00_1_Mechanical_Equipment_Design_Criteria.pdf" TargetMode="External"/><Relationship Id="rId155" Type="http://schemas.openxmlformats.org/officeDocument/2006/relationships/hyperlink" Target="../../../Contract/Specifications/20-20967/GCC-CC7-PF-00000-RQ-TSP-7002_00_1_Customer's_Specification_for_the_Supply_of_Pump_Units.pdf" TargetMode="External"/><Relationship Id="rId176" Type="http://schemas.openxmlformats.org/officeDocument/2006/relationships/hyperlink" Target="../../../Contract/Specifications/20-20967/GCC-CC7-PF-00000-IN-TSP-8013_00_Bl.pdf" TargetMode="External"/><Relationship Id="rId197" Type="http://schemas.openxmlformats.org/officeDocument/2006/relationships/hyperlink" Target="../../../Contract/Specifications/20-20967/GCC-CC7-PF-00000-PI-TSP-6002_00_3_Piping_Design_Specification.pdf" TargetMode="External"/><Relationship Id="rId341" Type="http://schemas.openxmlformats.org/officeDocument/2006/relationships/hyperlink" Target="6.%20SOW/Annex%203_Technical%20Requirements,%20Technical%20Specifications/Technical%20Requirements,%20Technical%20Specifications/GCC-CC7-PM-00000-ME-TSP-00001_AA_2%20(1).pdf" TargetMode="External"/><Relationship Id="rId362" Type="http://schemas.openxmlformats.org/officeDocument/2006/relationships/hyperlink" Target="file:///\\runas02\GENERAL\Modules_Budgets\20-20965%20-%20BCC%20MDP%20AlphaB+H\ITB-16.03.21\06%20Scope%20of%20Work\ATTACHMENT%206.%20Scope%20of%20Work_LAO.pdf" TargetMode="External"/><Relationship Id="rId383" Type="http://schemas.openxmlformats.org/officeDocument/2006/relationships/hyperlink" Target="file:///\\runas02\GENERAL\Modules_Budgets\20-20965%20-%20BCC%20MDP%20AlphaB+H\ITB-16.03.21\06%20Scope%20of%20Work\ATTACHMENT%206.%20Scope%20of%20Work_LAO.pdf" TargetMode="External"/><Relationship Id="rId418" Type="http://schemas.openxmlformats.org/officeDocument/2006/relationships/hyperlink" Target="file:///\\runas02\GENERAL\Modules_Budgets\20-20965%20-%20BCC%20MDP%20AlphaB+H\ITB-16.03.21\06%20Scope%20of%20Work\ATTACHMENT%206.%20Scope%20of%20Work_LAO.pdf" TargetMode="External"/><Relationship Id="rId439" Type="http://schemas.openxmlformats.org/officeDocument/2006/relationships/printerSettings" Target="../printerSettings/printerSettings1.bin"/><Relationship Id="rId201" Type="http://schemas.openxmlformats.org/officeDocument/2006/relationships/hyperlink" Target="../../../Contract/Specifications/20-20967/GCC-CC7-PF-00000-PI-TSP-6002_00_3_Piping_Design_Specification.pdf" TargetMode="External"/><Relationship Id="rId222" Type="http://schemas.openxmlformats.org/officeDocument/2006/relationships/hyperlink" Target="6.%20SOW/Annex%203_Technical%20Requirements,%20Technical%20Specifications/Technical%20Requirements,%20Technical%20Specifications/GCC-CC7-PM-00000-ME-TSP-00006_00_2.pdf" TargetMode="External"/><Relationship Id="rId243" Type="http://schemas.openxmlformats.org/officeDocument/2006/relationships/hyperlink" Target="6.%20SOW/Annex%203_Technical%20Requirements,%20Technical%20Specifications/Technical%20Requirements,%20Technical%20Specifications/GCC-CC7-PM-00000-ME-TSP-00006_00_2.pdf" TargetMode="External"/><Relationship Id="rId264" Type="http://schemas.openxmlformats.org/officeDocument/2006/relationships/hyperlink" Target="6.%20SOW/Annex%203_Technical%20Requirements,%20Technical%20Specifications/Technical%20Requirements,%20Technical%20Specifications/GCC-CC7-PM-00000-ME-TSP-00006_00_2.pdf" TargetMode="External"/><Relationship Id="rId285" Type="http://schemas.openxmlformats.org/officeDocument/2006/relationships/hyperlink" Target="6.%20SOW/Annex%203_Technical%20Requirements,%20Technical%20Specifications/Technical%20Requirements,%20Technical%20Specifications/GCC-CC7-PM-00000-ME-TSP-00006_00_2.pdf" TargetMode="External"/><Relationship Id="rId17" Type="http://schemas.openxmlformats.org/officeDocument/2006/relationships/hyperlink" Target="../GCC-CC7-AXE-TRM-00001/GCC-CC7-PF-00000-PA-TSP-5007_00_1_EQUIPMENT_AND_PIPING_PAINTING_SPECIFICATION.pdf" TargetMode="External"/><Relationship Id="rId38" Type="http://schemas.openxmlformats.org/officeDocument/2006/relationships/hyperlink" Target="../../../Contract/Specifications/20-20967/GCC-CC7-PF-00000-CI-TSP-1001_00_3_General_Civil_Specification.pdf" TargetMode="External"/><Relationship Id="rId59" Type="http://schemas.openxmlformats.org/officeDocument/2006/relationships/hyperlink" Target="../../../Contract/Specifications/20-20967/GCC-CC7-PF-00000-ME-TSP-5006_00_1_Mechanical_Equipment_Design_Criteria.pdf" TargetMode="External"/><Relationship Id="rId103" Type="http://schemas.openxmlformats.org/officeDocument/2006/relationships/hyperlink" Target="../../../Contract/Specifications/20-20967/GCC-CC7-PF-00000-PC-TSP-5004_00_1_Process_Design_Criteria.pdf" TargetMode="External"/><Relationship Id="rId124" Type="http://schemas.openxmlformats.org/officeDocument/2006/relationships/hyperlink" Target="../../../Contract/Specifications/20-20967/GCC-CC7-PF-00000-PE-TSP-7001_00_1_Requirements_for_Package_units.pdf" TargetMode="External"/><Relationship Id="rId310" Type="http://schemas.openxmlformats.org/officeDocument/2006/relationships/hyperlink" Target="6.%20SOW/Annex%203_Technical%20Requirements,%20Technical%20Specifications/Technical%20Requirements,%20Technical%20Specifications/GCC-CC7-PM-00000-ME-TSP-00001_AA_2%20(1).pdf" TargetMode="External"/><Relationship Id="rId70" Type="http://schemas.openxmlformats.org/officeDocument/2006/relationships/hyperlink" Target="../../../Contract/Specifications/20-20967/GCC-CC7-PF-00000-ME-TSP-5006_00_1_Mechanical_Equipment_Design_Criteria.pdf" TargetMode="External"/><Relationship Id="rId91" Type="http://schemas.openxmlformats.org/officeDocument/2006/relationships/hyperlink" Target="../../../Contract/Specifications/20-20967/GCC-CC7-PF-00000-PA-TSP-5007_00_1_EQUIPMENT_AND_PIPING_PAINTING_SPECIFICATION.pdf" TargetMode="External"/><Relationship Id="rId145" Type="http://schemas.openxmlformats.org/officeDocument/2006/relationships/hyperlink" Target="../../../Contract/Specifications/20-20967/GCC-CC7-PF-00000-PE-TSP-7001_00_1_Requirements_for_Package_units.pdf" TargetMode="External"/><Relationship Id="rId166" Type="http://schemas.openxmlformats.org/officeDocument/2006/relationships/hyperlink" Target="../../../Contract/Specifications/20-20967/GCC-CC7-PF-00000-SQ-TSP-5012_00_1_Design_Specifications_for_Vessels_and_Apparatuses.pdf" TargetMode="External"/><Relationship Id="rId187" Type="http://schemas.openxmlformats.org/officeDocument/2006/relationships/hyperlink" Target="../../../Contract/Specifications/20-20967/GCC-CC7-PF-00000-EL-TSP-9011_00_3_Electrical_Requirements_for_Mechanical_Equipment.pdf" TargetMode="External"/><Relationship Id="rId331" Type="http://schemas.openxmlformats.org/officeDocument/2006/relationships/hyperlink" Target="6.%20SOW/Annex%203_Technical%20Requirements,%20Technical%20Specifications/Technical%20Requirements,%20Technical%20Specifications/GCC-CC7-PM-00000-ME-TSP-00001_AA_2%20(1).pdf" TargetMode="External"/><Relationship Id="rId352"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2_AA_2.pdf" TargetMode="External"/><Relationship Id="rId373" Type="http://schemas.openxmlformats.org/officeDocument/2006/relationships/hyperlink" Target="file:///\\runas02\GENERAL\Modules_Budgets\20-20965%20-%20BCC%20MDP%20AlphaB+H\ITB-16.03.21\06%20Scope%20of%20Work\ATTACHMENT%206.%20Scope%20of%20Work_LAO.pdf" TargetMode="External"/><Relationship Id="rId394" Type="http://schemas.openxmlformats.org/officeDocument/2006/relationships/hyperlink" Target="../../../Contract/Specifications/20-20967/GCC-CC7-PF-00000-PE-TSP-7001_00_1_Requirements_for_Package_units.pdf" TargetMode="External"/><Relationship Id="rId408" Type="http://schemas.openxmlformats.org/officeDocument/2006/relationships/hyperlink" Target="file:///\\runas02\GENERAL\Modules_Budgets\20-20965%20-%20BCC%20MDP%20AlphaB+H\ITB-16.03.21\06%20Scope%20of%20Work\ATTACHMENT%206.%20Scope%20of%20Work_LAO.pdf" TargetMode="External"/><Relationship Id="rId429" Type="http://schemas.openxmlformats.org/officeDocument/2006/relationships/hyperlink" Target="file:///\\runas02\GENERAL\Modules_Budgets\20-20965%20-%20BCC%20MDP%20AlphaB+H\ITB-16.03.21\06%20Scope%20of%20Work\ATTACHMENT%206.%20Scope%20of%20Work_LAO.pdf" TargetMode="External"/><Relationship Id="rId1" Type="http://schemas.openxmlformats.org/officeDocument/2006/relationships/hyperlink" Target="../../../Contract/Specifications/20-20967/GCC-CC7-AXE-TRM-00001.PDF" TargetMode="External"/><Relationship Id="rId212" Type="http://schemas.openxmlformats.org/officeDocument/2006/relationships/hyperlink" Target="../../../Contract/Specifications/20-20967/GCC-CC7-PF-00000-IS-TSP-6008_00_3_Heat_Insulation__Piping_and_Equipment.pdf" TargetMode="External"/><Relationship Id="rId233" Type="http://schemas.openxmlformats.org/officeDocument/2006/relationships/hyperlink" Target="6.%20SOW/Annex%203_Technical%20Requirements,%20Technical%20Specifications/Technical%20Requirements,%20Technical%20Specifications/GCC-CC7-PM-00000-ME-TSP-00006_00_2.pdf" TargetMode="External"/><Relationship Id="rId254" Type="http://schemas.openxmlformats.org/officeDocument/2006/relationships/hyperlink" Target="6.%20SOW/Annex%203_Technical%20Requirements,%20Technical%20Specifications/Technical%20Requirements,%20Technical%20Specifications/GCC-CC7-PM-00000-ME-TSP-00006_00_2.pdf" TargetMode="External"/><Relationship Id="rId28" Type="http://schemas.openxmlformats.org/officeDocument/2006/relationships/hyperlink" Target="../../../Contract/Specifications/20-20967/GCC-CC7-PF-00000-IN-TSP-8013_00_Bl.pdf" TargetMode="External"/><Relationship Id="rId49" Type="http://schemas.openxmlformats.org/officeDocument/2006/relationships/hyperlink" Target="../../../Contract/Specifications/20-20967/GCC-CC7-PF-00000-IN-TSP-8013_00_Bl.pdf" TargetMode="External"/><Relationship Id="rId114" Type="http://schemas.openxmlformats.org/officeDocument/2006/relationships/hyperlink" Target="../../../Contract/Specifications/20-20967/GCC-CC7-PF-00000-PE-TSP-7001_00_1_Requirements_for_Package_units.pdf" TargetMode="External"/><Relationship Id="rId275" Type="http://schemas.openxmlformats.org/officeDocument/2006/relationships/hyperlink" Target="6.%20SOW/Annex%203_Technical%20Requirements,%20Technical%20Specifications/Technical%20Requirements,%20Technical%20Specifications/GCC-CC7-PM-00000-ME-TSP-00006_00_2.pdf" TargetMode="External"/><Relationship Id="rId296" Type="http://schemas.openxmlformats.org/officeDocument/2006/relationships/hyperlink" Target="6.%20SOW/Annex%203_Technical%20Requirements,%20Technical%20Specifications/Technical%20Requirements,%20Technical%20Specifications/GCC-CC7-PM-00000-ME-TSP-00001_AA_2%20(1).pdf" TargetMode="External"/><Relationship Id="rId300" Type="http://schemas.openxmlformats.org/officeDocument/2006/relationships/hyperlink" Target="6.%20SOW/Annex%203_Technical%20Requirements,%20Technical%20Specifications/Technical%20Requirements,%20Technical%20Specifications/GCC-CC7-PM-00000-ME-TSP-00001_AA_2%20(1).pdf" TargetMode="External"/><Relationship Id="rId60" Type="http://schemas.openxmlformats.org/officeDocument/2006/relationships/hyperlink" Target="../../../Contract/Specifications/20-20967/GCC-CC7-PF-00000-ME-TSP-5006_00_1_Mechanical_Equipment_Design_Criteria.pdf" TargetMode="External"/><Relationship Id="rId81" Type="http://schemas.openxmlformats.org/officeDocument/2006/relationships/hyperlink" Target="../../../Contract/Specifications/20-20967/GCC-CC7-PF-00000-ME-TSP-5006_00_1_Mechanical_Equipment_Design_Criteria.pdf" TargetMode="External"/><Relationship Id="rId135" Type="http://schemas.openxmlformats.org/officeDocument/2006/relationships/hyperlink" Target="../../../Contract/Specifications/20-20967/GCC-CC7-PF-00000-PE-TSP-7001_00_1_Requirements_for_Package_units.pdf" TargetMode="External"/><Relationship Id="rId156" Type="http://schemas.openxmlformats.org/officeDocument/2006/relationships/hyperlink" Target="../../../Contract/Specifications/20-20967/GCC-CC7-PF-00000-RQ-TSP-7002_00_1_Customer's_Specification_for_the_Supply_of_Pump_Units.pdf" TargetMode="External"/><Relationship Id="rId177" Type="http://schemas.openxmlformats.org/officeDocument/2006/relationships/hyperlink" Target="../../../Contract/Specifications/20-20967/GCC-CC7-PF-00000-IN-TSP-8013_00_Bl.pdf" TargetMode="External"/><Relationship Id="rId198" Type="http://schemas.openxmlformats.org/officeDocument/2006/relationships/hyperlink" Target="../../../Contract/Specifications/20-20967/GCC-CC7-PF-00000-PI-TSP-6002_00_3_Piping_Design_Specification.pdf" TargetMode="External"/><Relationship Id="rId321" Type="http://schemas.openxmlformats.org/officeDocument/2006/relationships/hyperlink" Target="6.%20SOW/Annex%203_Technical%20Requirements,%20Technical%20Specifications/Technical%20Requirements,%20Technical%20Specifications/GCC-CC7-PM-00000-ME-TSP-00001_AA_2%20(1).pdf" TargetMode="External"/><Relationship Id="rId342" Type="http://schemas.openxmlformats.org/officeDocument/2006/relationships/hyperlink" Target="6.%20SOW/Annex%203_Technical%20Requirements,%20Technical%20Specifications/Technical%20Requirements,%20Technical%20Specifications/GCC-CC7-PM-00000-ME-TSP-00001_AA_2%20(1).pdf" TargetMode="External"/><Relationship Id="rId363" Type="http://schemas.openxmlformats.org/officeDocument/2006/relationships/hyperlink" Target="file:///\\runas02\GENERAL\Modules_Budgets\20-20965%20-%20BCC%20MDP%20AlphaB+H\ITB-16.03.21\06%20Scope%20of%20Work\ATTACHMENT%206.%20Scope%20of%20Work_LAO.pdf" TargetMode="External"/><Relationship Id="rId384" Type="http://schemas.openxmlformats.org/officeDocument/2006/relationships/hyperlink" Target="file:///\\runas02\GENERAL\Modules_Budgets\20-20965%20-%20BCC%20MDP%20AlphaB+H\ITB-16.03.21\06%20Scope%20of%20Work\ATTACHMENT%206.%20Scope%20of%20Work_LAO.pdf" TargetMode="External"/><Relationship Id="rId419" Type="http://schemas.openxmlformats.org/officeDocument/2006/relationships/hyperlink" Target="file:///\\runas02\GENERAL\Modules_Budgets\20-20965%20-%20BCC%20MDP%20AlphaB+H\ITB-16.03.21\06%20Scope%20of%20Work\ATTACHMENT%206.%20Scope%20of%20Work_LAO.pdf" TargetMode="External"/><Relationship Id="rId202" Type="http://schemas.openxmlformats.org/officeDocument/2006/relationships/hyperlink" Target="../../../Contract/Specifications/20-20967/GCC-CC7-PF-00000-PI-TSP-6002_00_3_Piping_Design_Specification.pdf" TargetMode="External"/><Relationship Id="rId223" Type="http://schemas.openxmlformats.org/officeDocument/2006/relationships/hyperlink" Target="6.%20SOW\Annex%203_Technical%20Requirements,%20Technical%20Specifications\Technical%20Requirements,%20Technical%20Specifications\GCC-CC7-PM-00000-ME-TSP-00006_00_2.pdf" TargetMode="External"/><Relationship Id="rId244" Type="http://schemas.openxmlformats.org/officeDocument/2006/relationships/hyperlink" Target="6.%20SOW\Annex%203_Technical%20Requirements,%20Technical%20Specifications\Technical%20Requirements,%20Technical%20Specifications\GCC-CC7-PM-00000-ME-TSP-00006_00_2.pdf" TargetMode="External"/><Relationship Id="rId430" Type="http://schemas.openxmlformats.org/officeDocument/2006/relationships/hyperlink" Target="file:///\\runas02\GENERAL\Modules_Budgets\20-20965%20-%20BCC%20MDP%20AlphaB+H\ITB-16.03.21\06%20Scope%20of%20Work\ATTACHMENT%206.%20Scope%20of%20Work_LAO.pdf" TargetMode="External"/><Relationship Id="rId18" Type="http://schemas.openxmlformats.org/officeDocument/2006/relationships/hyperlink" Target="../GCC-CC7-AXE-TRM-00001/GCC-CC7-PF-00000-PA-TSP-5007_00_1_EQUIPMENT_AND_PIPING_PAINTING_SPECIFICATION.pdf" TargetMode="External"/><Relationship Id="rId39" Type="http://schemas.openxmlformats.org/officeDocument/2006/relationships/hyperlink" Target="../../../Contract/Specifications/20-20967/GCC-CC7-PF-00000-CI-TSP-6001_00_1_Piperack_Design_Specification.pdf" TargetMode="External"/><Relationship Id="rId265" Type="http://schemas.openxmlformats.org/officeDocument/2006/relationships/hyperlink" Target="6.%20SOW/Annex%203_Technical%20Requirements,%20Technical%20Specifications/Technical%20Requirements,%20Technical%20Specifications/GCC-CC7-PM-00000-ME-TSP-00006_00_2.pdf" TargetMode="External"/><Relationship Id="rId286" Type="http://schemas.openxmlformats.org/officeDocument/2006/relationships/hyperlink" Target="6.%20SOW/Annex%203_Technical%20Requirements,%20Technical%20Specifications/Technical%20Requirements,%20Technical%20Specifications/GCC-CC7-PM-00000-ME-TSP-00006_00_2.pdf" TargetMode="External"/><Relationship Id="rId50" Type="http://schemas.openxmlformats.org/officeDocument/2006/relationships/hyperlink" Target="../../../Contract/Specifications/20-20967/GCC-CC7-PF-00000-ME-TSP-5006_00_1_Mechanical_Equipment_Design_Criteria.pdf" TargetMode="External"/><Relationship Id="rId104" Type="http://schemas.openxmlformats.org/officeDocument/2006/relationships/hyperlink" Target="../../../Contract/Specifications/20-20967/GCC-CC7-PF-00000-PC-TSP-5004_00_1_Process_Design_Criteria.pdf" TargetMode="External"/><Relationship Id="rId125" Type="http://schemas.openxmlformats.org/officeDocument/2006/relationships/hyperlink" Target="../../../Contract/Specifications/20-20967/GCC-CC7-PF-00000-PE-TSP-7001_00_1_Requirements_for_Package_units.pdf" TargetMode="External"/><Relationship Id="rId146" Type="http://schemas.openxmlformats.org/officeDocument/2006/relationships/hyperlink" Target="../../../Contract/Specifications/20-20967/GCC-CC7-PF-00000-PE-TSP-7001_00_1_Requirements_for_Package_units.pdf" TargetMode="External"/><Relationship Id="rId167" Type="http://schemas.openxmlformats.org/officeDocument/2006/relationships/hyperlink" Target="../../../Contract/Specifications/20-20967/GCC-CC7-PF-00000-SQ-TSP-5012_00_1_Design_Specifications_for_Vessels_and_Apparatuses.pdf" TargetMode="External"/><Relationship Id="rId188" Type="http://schemas.openxmlformats.org/officeDocument/2006/relationships/hyperlink" Target="../../../Contract/Specifications/20-20967/GCC-CC7-PF-00000-EL-TSP-9011_00_3_Electrical_Requirements_for_Mechanical_Equipment.pdf" TargetMode="External"/><Relationship Id="rId311" Type="http://schemas.openxmlformats.org/officeDocument/2006/relationships/hyperlink" Target="6.%20SOW/Annex%203_Technical%20Requirements,%20Technical%20Specifications/Technical%20Requirements,%20Technical%20Specifications/GCC-CC7-PM-00000-ME-TSP-00001_AA_2%20(1).pdf" TargetMode="External"/><Relationship Id="rId332" Type="http://schemas.openxmlformats.org/officeDocument/2006/relationships/hyperlink" Target="6.%20SOW/Annex%203_Technical%20Requirements,%20Technical%20Specifications/Technical%20Requirements,%20Technical%20Specifications/GCC-CC7-PM-00000-ME-TSP-00001_AA_2%20(1).pdf" TargetMode="External"/><Relationship Id="rId353"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2_AA_2.pdf" TargetMode="External"/><Relationship Id="rId374" Type="http://schemas.openxmlformats.org/officeDocument/2006/relationships/hyperlink" Target="file:///\\runas02\GENERAL\Modules_Budgets\20-20965%20-%20BCC%20MDP%20AlphaB+H\ITB-16.03.21\06%20Scope%20of%20Work\ATTACHMENT%206.%20Scope%20of%20Work_LAO.pdf" TargetMode="External"/><Relationship Id="rId395" Type="http://schemas.openxmlformats.org/officeDocument/2006/relationships/hyperlink" Target="file:///\\runas02\GENERAL\Modules_Budgets\20-20965%20-%20BCC%20MDP%20AlphaB+H\ITB-16.03.21\06%20Scope%20of%20Work\ATTACHMENT%206.%20Scope%20of%20Work_LAO.pdf" TargetMode="External"/><Relationship Id="rId409" Type="http://schemas.openxmlformats.org/officeDocument/2006/relationships/hyperlink" Target="file:///\\runas02\GENERAL\Modules_Budgets\20-20965%20-%20BCC%20MDP%20AlphaB+H\ITB-16.03.21\06%20Scope%20of%20Work\ATTACHMENT%206.%20Scope%20of%20Work_LAO.pdf" TargetMode="External"/><Relationship Id="rId71" Type="http://schemas.openxmlformats.org/officeDocument/2006/relationships/hyperlink" Target="../../../Contract/Specifications/20-20967/GCC-CC7-PF-00000-ME-TSP-5006_00_1_Mechanical_Equipment_Design_Criteria.pdf" TargetMode="External"/><Relationship Id="rId92" Type="http://schemas.openxmlformats.org/officeDocument/2006/relationships/hyperlink" Target="../../../Contract/Specifications/20-20967/GCC-CC7-PF-00000-PA-TSP-5007_00_1_EQUIPMENT_AND_PIPING_PAINTING_SPECIFICATION.pdf" TargetMode="External"/><Relationship Id="rId213" Type="http://schemas.openxmlformats.org/officeDocument/2006/relationships/hyperlink" Target="../../../Contract/Specifications/20-20967/GCC-CC7-PF-00000-IS-TSP-6008_00_3_Heat_Insulation__Piping_and_Equipment.pdf" TargetMode="External"/><Relationship Id="rId234" Type="http://schemas.openxmlformats.org/officeDocument/2006/relationships/hyperlink" Target="6.%20SOW/Annex%203_Technical%20Requirements,%20Technical%20Specifications/Technical%20Requirements,%20Technical%20Specifications/GCC-CC7-PM-00000-ME-TSP-00006_00_2.pdf" TargetMode="External"/><Relationship Id="rId420" Type="http://schemas.openxmlformats.org/officeDocument/2006/relationships/hyperlink" Target="file:///\\runas02\GENERAL\Modules_Budgets\20-20965%20-%20BCC%20MDP%20AlphaB+H\ITB-16.03.21\06%20Scope%20of%20Work\ATTACHMENT%206.%20Scope%20of%20Work_LAO.pdf" TargetMode="External"/><Relationship Id="rId2" Type="http://schemas.openxmlformats.org/officeDocument/2006/relationships/hyperlink" Target="../../../Contract/Specifications/20-20967/GCC-CC7-PF-00000-CI-TSP-1001_00_3_General_Civil_Specification.pdf" TargetMode="External"/><Relationship Id="rId29" Type="http://schemas.openxmlformats.org/officeDocument/2006/relationships/hyperlink" Target="../../../Contract/Specifications/20-20967/GCC-CC7-PF-00000-IN-TSP-8013_00_Bl.pdf" TargetMode="External"/><Relationship Id="rId255" Type="http://schemas.openxmlformats.org/officeDocument/2006/relationships/hyperlink" Target="6.%20SOW/Annex%203_Technical%20Requirements,%20Technical%20Specifications/Technical%20Requirements,%20Technical%20Specifications/GCC-CC7-PM-00000-ME-TSP-00006_00_2.pdf" TargetMode="External"/><Relationship Id="rId276" Type="http://schemas.openxmlformats.org/officeDocument/2006/relationships/hyperlink" Target="6.%20SOW/Annex%203_Technical%20Requirements,%20Technical%20Specifications/Technical%20Requirements,%20Technical%20Specifications/GCC-CC7-PM-00000-ME-TSP-00006_00_2.pdf" TargetMode="External"/><Relationship Id="rId297" Type="http://schemas.openxmlformats.org/officeDocument/2006/relationships/hyperlink" Target="6.%20SOW/Annex%203_Technical%20Requirements,%20Technical%20Specifications/Technical%20Requirements,%20Technical%20Specifications/GCC-CC7-PM-00000-ME-TSP-00001_AA_2%20(1).pdf" TargetMode="External"/><Relationship Id="rId40" Type="http://schemas.openxmlformats.org/officeDocument/2006/relationships/hyperlink" Target="../../../Contract/Specifications/20-20967/GCC-CC7-PF-00000-IN-TSP-8013_00_Bl.pdf" TargetMode="External"/><Relationship Id="rId115" Type="http://schemas.openxmlformats.org/officeDocument/2006/relationships/hyperlink" Target="../../../Contract/Specifications/20-20967/GCC-CC7-PF-00000-PE-TSP-7001_00_1_Requirements_for_Package_units.pdf" TargetMode="External"/><Relationship Id="rId136" Type="http://schemas.openxmlformats.org/officeDocument/2006/relationships/hyperlink" Target="../../../Contract/Specifications/20-20967/GCC-CC7-PF-00000-PE-TSP-7001_00_1_Requirements_for_Package_units.pdf" TargetMode="External"/><Relationship Id="rId157" Type="http://schemas.openxmlformats.org/officeDocument/2006/relationships/hyperlink" Target="../../../Contract/Specifications/20-20967/GCC-CC7-PF-00000-RQ-TSP-7002_00_1_Customer's_Specification_for_the_Supply_of_Pump_Units.pdf" TargetMode="External"/><Relationship Id="rId178" Type="http://schemas.openxmlformats.org/officeDocument/2006/relationships/hyperlink" Target="../../../Contract/Specifications/20-20967/GCC-CC7-PF-00000-IN-TSP-8013_00_Bl.pdf" TargetMode="External"/><Relationship Id="rId301" Type="http://schemas.openxmlformats.org/officeDocument/2006/relationships/hyperlink" Target="6.%20SOW/Annex%203_Technical%20Requirements,%20Technical%20Specifications/Technical%20Requirements,%20Technical%20Specifications/GCC-CC7-PM-00000-ME-TSP-00001_AA_2%20(1).pdf" TargetMode="External"/><Relationship Id="rId322" Type="http://schemas.openxmlformats.org/officeDocument/2006/relationships/hyperlink" Target="6.%20SOW/Annex%203_Technical%20Requirements,%20Technical%20Specifications/Technical%20Requirements,%20Technical%20Specifications/GCC-CC7-PM-00000-ME-TSP-00001_AA_2%20(1).pdf" TargetMode="External"/><Relationship Id="rId343" Type="http://schemas.openxmlformats.org/officeDocument/2006/relationships/hyperlink" Target="6.%20SOW/Annex%203_Technical%20Requirements,%20Technical%20Specifications/Technical%20Requirements,%20Technical%20Specifications/GCC-CC7-PM-00000-ME-TSP-00001_AA_2%20(1).pdf" TargetMode="External"/><Relationship Id="rId364" Type="http://schemas.openxmlformats.org/officeDocument/2006/relationships/hyperlink" Target="file:///\\runas02\GENERAL\Modules_Budgets\20-20965%20-%20BCC%20MDP%20AlphaB+H\ITB-16.03.21\06%20Scope%20of%20Work\ATTACHMENT%206.%20Scope%20of%20Work_LAO.pdf" TargetMode="External"/><Relationship Id="rId61" Type="http://schemas.openxmlformats.org/officeDocument/2006/relationships/hyperlink" Target="../../../Contract/Specifications/20-20967/GCC-CC7-PF-00000-ME-TSP-5006_00_1_Mechanical_Equipment_Design_Criteria.pdf" TargetMode="External"/><Relationship Id="rId82" Type="http://schemas.openxmlformats.org/officeDocument/2006/relationships/hyperlink" Target="../../../Contract/Specifications/20-20967/GCC-CC7-PF-00000-ME-TSP-5006_00_1_Mechanical_Equipment_Design_Criteria.pdf" TargetMode="External"/><Relationship Id="rId199" Type="http://schemas.openxmlformats.org/officeDocument/2006/relationships/hyperlink" Target="../../../Contract/Specifications/20-20967/GCC-CC7-PF-00000-PI-TSP-6002_00_3_Piping_Design_Specification.pdf" TargetMode="External"/><Relationship Id="rId203" Type="http://schemas.openxmlformats.org/officeDocument/2006/relationships/hyperlink" Target="../../../Contract/Specifications/20-20967/GCC-CC7-PF-00000-PI-TSP-6002_00_3_Piping_Design_Specification.pdf" TargetMode="External"/><Relationship Id="rId385" Type="http://schemas.openxmlformats.org/officeDocument/2006/relationships/hyperlink" Target="file:///\\runas02\GENERAL\Modules_Budgets\20-20965%20-%20BCC%20MDP%20AlphaB+H\ITB-16.03.21\06%20Scope%20of%20Work\ATTACHMENT%206.%20Scope%20of%20Work_LAO.pdf" TargetMode="External"/><Relationship Id="rId19" Type="http://schemas.openxmlformats.org/officeDocument/2006/relationships/hyperlink" Target="..\GCC-CC7-AXE-TRM-00001\GCC-CC7-PF-00000-SQ-TSP-5012_00_1_Design_Specifications_for_Vessels_and_Apparatuses.pdf" TargetMode="External"/><Relationship Id="rId224" Type="http://schemas.openxmlformats.org/officeDocument/2006/relationships/hyperlink" Target="6.%20SOW/Annex%203_Technical%20Requirements,%20Technical%20Specifications/Technical%20Requirements,%20Technical%20Specifications/GCC-CC7-PM-00000-ME-TSP-00006_00_2.pdf" TargetMode="External"/><Relationship Id="rId245" Type="http://schemas.openxmlformats.org/officeDocument/2006/relationships/hyperlink" Target="6.%20SOW/Annex%203_Technical%20Requirements,%20Technical%20Specifications/Technical%20Requirements,%20Technical%20Specifications/GCC-CC7-PM-00000-ME-TSP-00006_00_2.pdf" TargetMode="External"/><Relationship Id="rId266" Type="http://schemas.openxmlformats.org/officeDocument/2006/relationships/hyperlink" Target="6.%20SOW/Annex%203_Technical%20Requirements,%20Technical%20Specifications/Technical%20Requirements,%20Technical%20Specifications/GCC-CC7-PM-00000-ME-TSP-00006_00_2.pdf" TargetMode="External"/><Relationship Id="rId287" Type="http://schemas.openxmlformats.org/officeDocument/2006/relationships/hyperlink" Target="6.%20SOW/Annex%203_Technical%20Requirements,%20Technical%20Specifications/Technical%20Requirements,%20Technical%20Specifications/GCC-CC7-PM-00000-ME-TSP-00006_00_2.pdf" TargetMode="External"/><Relationship Id="rId410" Type="http://schemas.openxmlformats.org/officeDocument/2006/relationships/hyperlink" Target="file:///\\runas02\GENERAL\Modules_Budgets\20-20965%20-%20BCC%20MDP%20AlphaB+H\ITB-16.03.21\06%20Scope%20of%20Work\ATTACHMENT%206.%20Scope%20of%20Work_LAO.pdf" TargetMode="External"/><Relationship Id="rId431" Type="http://schemas.openxmlformats.org/officeDocument/2006/relationships/hyperlink" Target="file:///\\runas02\GENERAL\Modules_Budgets\20-20965%20-%20BCC%20MDP%20AlphaB+H\ITB-16.03.21\06%20Scope%20of%20Work\ATTACHMENT%206.%20Scope%20of%20Work_LAO.pdf" TargetMode="External"/><Relationship Id="rId30" Type="http://schemas.openxmlformats.org/officeDocument/2006/relationships/hyperlink" Target="../../../Contract/Specifications/20-20967/GCC-CC7-PF-00000-CI-TSP-1001_00_3_General_Civil_Specification.pdf" TargetMode="External"/><Relationship Id="rId105" Type="http://schemas.openxmlformats.org/officeDocument/2006/relationships/hyperlink" Target="../../../Contract/Specifications/20-20967/GCC-CC7-PF-00000-PC-TSP-5004_00_1_Process_Design_Criteria.pdf" TargetMode="External"/><Relationship Id="rId126" Type="http://schemas.openxmlformats.org/officeDocument/2006/relationships/hyperlink" Target="../../../Contract/Specifications/20-20967/GCC-CC7-PF-00000-PE-TSP-7001_00_1_Requirements_for_Package_units.pdf" TargetMode="External"/><Relationship Id="rId147" Type="http://schemas.openxmlformats.org/officeDocument/2006/relationships/hyperlink" Target="../../../Contract/Specifications/20-20967/GCC-CC7-PF-00000-PE-TSP-7001_00_1_Requirements_for_Package_units.pdf" TargetMode="External"/><Relationship Id="rId168" Type="http://schemas.openxmlformats.org/officeDocument/2006/relationships/hyperlink" Target="../../../Contract/Specifications/20-20967/GCC-CC7-PF-00000-SQ-TSP-5012_00_1_Design_Specifications_for_Vessels_and_Apparatuses.pdf" TargetMode="External"/><Relationship Id="rId312" Type="http://schemas.openxmlformats.org/officeDocument/2006/relationships/hyperlink" Target="6.%20SOW/Annex%203_Technical%20Requirements,%20Technical%20Specifications/Technical%20Requirements,%20Technical%20Specifications/GCC-CC7-PM-00000-ME-TSP-00001_AA_2%20(1).pdf" TargetMode="External"/><Relationship Id="rId333" Type="http://schemas.openxmlformats.org/officeDocument/2006/relationships/hyperlink" Target="6.%20SOW/Annex%203_Technical%20Requirements,%20Technical%20Specifications/Technical%20Requirements,%20Technical%20Specifications/GCC-CC7-PM-00000-ME-TSP-00001_AA_2%20(1).pdf" TargetMode="External"/><Relationship Id="rId354"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2_AA_2.pdf" TargetMode="External"/><Relationship Id="rId51" Type="http://schemas.openxmlformats.org/officeDocument/2006/relationships/hyperlink" Target="../../../Contract/Specifications/20-20967/GCC-CC7-PF-00000-ME-TSP-5006_00_1_Mechanical_Equipment_Design_Criteria.pdf" TargetMode="External"/><Relationship Id="rId72" Type="http://schemas.openxmlformats.org/officeDocument/2006/relationships/hyperlink" Target="../../../Contract/Specifications/20-20967/GCC-CC7-PF-00000-ME-TSP-5006_00_1_Mechanical_Equipment_Design_Criteria.pdf" TargetMode="External"/><Relationship Id="rId93" Type="http://schemas.openxmlformats.org/officeDocument/2006/relationships/hyperlink" Target="../../../Contract/Specifications/20-20967/GCC-CC7-PF-00000-PA-TSP-5007_00_1_EQUIPMENT_AND_PIPING_PAINTING_SPECIFICATION.pdf" TargetMode="External"/><Relationship Id="rId189" Type="http://schemas.openxmlformats.org/officeDocument/2006/relationships/hyperlink" Target="../../../Contract/Specifications/20-20967/GCC-CC7-PF-00000-EL-TSP-9011_00_3_Electrical_Requirements_for_Mechanical_Equipment.pdf" TargetMode="External"/><Relationship Id="rId375" Type="http://schemas.openxmlformats.org/officeDocument/2006/relationships/hyperlink" Target="file:///\\runas02\GENERAL\Modules_Budgets\20-20965%20-%20BCC%20MDP%20AlphaB+H\ITB-16.03.21\06%20Scope%20of%20Work\ATTACHMENT%206.%20Scope%20of%20Work_LAO.pdf" TargetMode="External"/><Relationship Id="rId396" Type="http://schemas.openxmlformats.org/officeDocument/2006/relationships/hyperlink" Target="file:///\\runas02\GENERAL\Modules_Budgets\20-20965%20-%20BCC%20MDP%20AlphaB+H\ITB-16.03.21\06%20Scope%20of%20Work\ATTACHMENT%206.%20Scope%20of%20Work_LAO.pdf" TargetMode="External"/><Relationship Id="rId3" Type="http://schemas.openxmlformats.org/officeDocument/2006/relationships/hyperlink" Target="..\..\..\01-%20RFQ\RFQ\GCC-CC7-AXE-TRM-00001\GCC-CC7-PF-00000-CI-TSP-1001_00_3_General_Civil_Specification.pdf" TargetMode="External"/><Relationship Id="rId214" Type="http://schemas.openxmlformats.org/officeDocument/2006/relationships/hyperlink" Target="../../../Contract/Specifications/20-20967/GCC-CC7-PF-00000-IS-TSP-6008_00_3_Heat_Insulation__Piping_and_Equipment.pdf" TargetMode="External"/><Relationship Id="rId235" Type="http://schemas.openxmlformats.org/officeDocument/2006/relationships/hyperlink" Target="6.%20SOW/Annex%203_Technical%20Requirements,%20Technical%20Specifications/Technical%20Requirements,%20Technical%20Specifications/GCC-CC7-PM-00000-ME-TSP-00006_00_2.pdf" TargetMode="External"/><Relationship Id="rId256" Type="http://schemas.openxmlformats.org/officeDocument/2006/relationships/hyperlink" Target="6.%20SOW/Annex%203_Technical%20Requirements,%20Technical%20Specifications/Technical%20Requirements,%20Technical%20Specifications/GCC-CC7-PM-00000-ME-TSP-00006_00_2.pdf" TargetMode="External"/><Relationship Id="rId277" Type="http://schemas.openxmlformats.org/officeDocument/2006/relationships/hyperlink" Target="6.%20SOW/Annex%203_Technical%20Requirements,%20Technical%20Specifications/Technical%20Requirements,%20Technical%20Specifications/GCC-CC7-PM-00000-ME-TSP-00006_00_2.pdf" TargetMode="External"/><Relationship Id="rId298" Type="http://schemas.openxmlformats.org/officeDocument/2006/relationships/hyperlink" Target="6.%20SOW/Annex%203_Technical%20Requirements,%20Technical%20Specifications/Technical%20Requirements,%20Technical%20Specifications/GCC-CC7-PM-00000-ME-TSP-00001_AA_2%20(1).pdf" TargetMode="External"/><Relationship Id="rId400" Type="http://schemas.openxmlformats.org/officeDocument/2006/relationships/hyperlink" Target="file:///\\runas02\GENERAL\Modules_Budgets\20-20965%20-%20BCC%20MDP%20AlphaB+H\ITB-16.03.21\06%20Scope%20of%20Work\ATTACHMENT%206.%20Scope%20of%20Work_LAO.pdf" TargetMode="External"/><Relationship Id="rId421" Type="http://schemas.openxmlformats.org/officeDocument/2006/relationships/hyperlink" Target="file:///\\runas02\GENERAL\Modules_Budgets\20-20965%20-%20BCC%20MDP%20AlphaB+H\ITB-16.03.21\06%20Scope%20of%20Work\ATTACHMENT%206.%20Scope%20of%20Work_LAO.pdf" TargetMode="External"/><Relationship Id="rId116" Type="http://schemas.openxmlformats.org/officeDocument/2006/relationships/hyperlink" Target="../../../Contract/Specifications/20-20967/GCC-CC7-PF-00000-PE-TSP-7001_00_1_Requirements_for_Package_units.pdf" TargetMode="External"/><Relationship Id="rId137" Type="http://schemas.openxmlformats.org/officeDocument/2006/relationships/hyperlink" Target="../../../Contract/Specifications/20-20967/GCC-CC7-PF-00000-PE-TSP-7001_00_1_Requirements_for_Package_units.pdf" TargetMode="External"/><Relationship Id="rId158" Type="http://schemas.openxmlformats.org/officeDocument/2006/relationships/hyperlink" Target="../../../Contract/Specifications/20-20967/GCC-CC7-PF-00000-RQ-TSP-7002_00_1_Customer's_Specification_for_the_Supply_of_Pump_Units.pdf" TargetMode="External"/><Relationship Id="rId302" Type="http://schemas.openxmlformats.org/officeDocument/2006/relationships/hyperlink" Target="6.%20SOW/Annex%203_Technical%20Requirements,%20Technical%20Specifications/Technical%20Requirements,%20Technical%20Specifications/GCC-CC7-PM-00000-ME-TSP-00001_AA_2%20(1).pdf" TargetMode="External"/><Relationship Id="rId323" Type="http://schemas.openxmlformats.org/officeDocument/2006/relationships/hyperlink" Target="6.%20SOW/Annex%203_Technical%20Requirements,%20Technical%20Specifications/Technical%20Requirements,%20Technical%20Specifications/GCC-CC7-PM-00000-ME-TSP-00001_AA_2%20(1).pdf" TargetMode="External"/><Relationship Id="rId344" Type="http://schemas.openxmlformats.org/officeDocument/2006/relationships/hyperlink" Target="6.%20SOW/Annex%203_Technical%20Requirements,%20Technical%20Specifications/Technical%20Requirements,%20Technical%20Specifications/GCC-CC7-PM-00000-ME-TSP-00001_AA_2%20(1).pdf" TargetMode="External"/><Relationship Id="rId20" Type="http://schemas.openxmlformats.org/officeDocument/2006/relationships/hyperlink" Target="..\GCC-CC7-AXE-TRM-00001\GCC-CC7-PF-00000-SQ-TSP-5012_00_1_Design_Specifications_for_Vessels_and_Apparatuses.pdf" TargetMode="External"/><Relationship Id="rId41" Type="http://schemas.openxmlformats.org/officeDocument/2006/relationships/hyperlink" Target="../../../Contract/Specifications/20-20967/GCC-CC7-PF-00000-IN-TSP-8013_00_Bl.pdf" TargetMode="External"/><Relationship Id="rId62" Type="http://schemas.openxmlformats.org/officeDocument/2006/relationships/hyperlink" Target="../../../Contract/Specifications/20-20967/GCC-CC7-PF-00000-ME-TSP-5006_00_1_Mechanical_Equipment_Design_Criteria.pdf" TargetMode="External"/><Relationship Id="rId83" Type="http://schemas.openxmlformats.org/officeDocument/2006/relationships/hyperlink" Target="../../../Contract/Specifications/20-20967/GCC-CC7-PF-00000-ME-TSP-5006_00_1_Mechanical_Equipment_Design_Criteria.pdf" TargetMode="External"/><Relationship Id="rId179" Type="http://schemas.openxmlformats.org/officeDocument/2006/relationships/hyperlink" Target="../../../Contract/Specifications/20-20967/GCC-CC7-PF-00000-IN-TSP-8013_00_Bl.pdf" TargetMode="External"/><Relationship Id="rId365" Type="http://schemas.openxmlformats.org/officeDocument/2006/relationships/hyperlink" Target="file:///\\runas02\GENERAL\Modules_Budgets\20-20965%20-%20BCC%20MDP%20AlphaB+H\ITB-16.03.21\06%20Scope%20of%20Work\ATTACHMENT%206.%20Scope%20of%20Work_LAO.pdf" TargetMode="External"/><Relationship Id="rId386" Type="http://schemas.openxmlformats.org/officeDocument/2006/relationships/hyperlink" Target="file:///\\runas02\GENERAL\Modules_Budgets\20-20965%20-%20BCC%20MDP%20AlphaB+H\ITB-16.03.21\06%20Scope%20of%20Work\ATTACHMENT%206.%20Scope%20of%20Work_LAO.pdf" TargetMode="External"/><Relationship Id="rId190" Type="http://schemas.openxmlformats.org/officeDocument/2006/relationships/hyperlink" Target="../../../Contract/Specifications/20-20967/GCC-CC7-PF-00000-EL-TSP-9011_00_3_Electrical_Requirements_for_Mechanical_Equipment.pdf" TargetMode="External"/><Relationship Id="rId204" Type="http://schemas.openxmlformats.org/officeDocument/2006/relationships/hyperlink" Target="../../../Contract/Specifications/20-20967/GCC-CC7-PF-00000-PI-TSP-6002_00_3_Piping_Design_Specification.pdf" TargetMode="External"/><Relationship Id="rId225" Type="http://schemas.openxmlformats.org/officeDocument/2006/relationships/hyperlink" Target="6.%20SOW/Annex%203_Technical%20Requirements,%20Technical%20Specifications/Technical%20Requirements,%20Technical%20Specifications/GCC-CC7-PM-00000-ME-TSP-00006_00_2.pdf" TargetMode="External"/><Relationship Id="rId246" Type="http://schemas.openxmlformats.org/officeDocument/2006/relationships/hyperlink" Target="6.%20SOW/Annex%203_Technical%20Requirements,%20Technical%20Specifications/Technical%20Requirements,%20Technical%20Specifications/GCC-CC7-PM-00000-ME-TSP-00006_00_2.pdf" TargetMode="External"/><Relationship Id="rId267" Type="http://schemas.openxmlformats.org/officeDocument/2006/relationships/hyperlink" Target="6.%20SOW/Annex%203_Technical%20Requirements,%20Technical%20Specifications/Technical%20Requirements,%20Technical%20Specifications/GCC-CC7-PM-00000-ME-TSP-00006_00_2.pdf" TargetMode="External"/><Relationship Id="rId288" Type="http://schemas.openxmlformats.org/officeDocument/2006/relationships/hyperlink" Target="6.%20SOW/Annex%203_Technical%20Requirements,%20Technical%20Specifications/Technical%20Requirements,%20Technical%20Specifications/GCC-CC7-PM-00000-ME-TSP-00006_00_2.pdf" TargetMode="External"/><Relationship Id="rId411" Type="http://schemas.openxmlformats.org/officeDocument/2006/relationships/hyperlink" Target="file:///\\runas02\GENERAL\Modules_Budgets\20-20965%20-%20BCC%20MDP%20AlphaB+H\ITB-16.03.21\06%20Scope%20of%20Work\ATTACHMENT%206.%20Scope%20of%20Work_LAO.pdf" TargetMode="External"/><Relationship Id="rId432" Type="http://schemas.openxmlformats.org/officeDocument/2006/relationships/hyperlink" Target="file:///\\runas02\GENERAL\Modules_Budgets\20-20965%20-%20BCC%20MDP%20AlphaB+H\ITB-16.03.21\06%20Scope%20of%20Work\ATTACHMENT%206.%20Scope%20of%20Work_LAO.pdf" TargetMode="External"/><Relationship Id="rId106" Type="http://schemas.openxmlformats.org/officeDocument/2006/relationships/hyperlink" Target="../../../Contract/Specifications/20-20967/GCC-CC7-PF-00000-PC-TSP-5004_00_1_Process_Design_Criteria.pdf" TargetMode="External"/><Relationship Id="rId127" Type="http://schemas.openxmlformats.org/officeDocument/2006/relationships/hyperlink" Target="../../../Contract/Specifications/20-20967/GCC-CC7-PF-00000-PE-TSP-7001_00_1_Requirements_for_Package_units.pdf" TargetMode="External"/><Relationship Id="rId313" Type="http://schemas.openxmlformats.org/officeDocument/2006/relationships/hyperlink" Target="6.%20SOW/Annex%203_Technical%20Requirements,%20Technical%20Specifications/Technical%20Requirements,%20Technical%20Specifications/GCC-CC7-PM-00000-ME-TSP-00001_AA_2%20(1).pdf" TargetMode="External"/><Relationship Id="rId10" Type="http://schemas.openxmlformats.org/officeDocument/2006/relationships/hyperlink" Target="..\GCC-CC7-AXE-TRM-00001\GCC-CC7-PF-00000-ME-TSP-5006_00_1_Mechanical_Equipment_Design_Criteria.pdf" TargetMode="External"/><Relationship Id="rId31" Type="http://schemas.openxmlformats.org/officeDocument/2006/relationships/hyperlink" Target="../../../Contract/Specifications/20-20967/GCC-CC7-PF-00000-CI-TSP-1001_00_3_General_Civil_Specification.pdf" TargetMode="External"/><Relationship Id="rId52" Type="http://schemas.openxmlformats.org/officeDocument/2006/relationships/hyperlink" Target="../../../Contract/Specifications/20-20967/GCC-CC7-PF-00000-ME-TSP-5006_00_1_Mechanical_Equipment_Design_Criteria.pdf" TargetMode="External"/><Relationship Id="rId73" Type="http://schemas.openxmlformats.org/officeDocument/2006/relationships/hyperlink" Target="../../../Contract/Specifications/20-20967/GCC-CC7-PF-00000-ME-TSP-5006_00_1_Mechanical_Equipment_Design_Criteria.pdf" TargetMode="External"/><Relationship Id="rId94" Type="http://schemas.openxmlformats.org/officeDocument/2006/relationships/hyperlink" Target="../../../Contract/Specifications/20-20967/GCC-CC7-PF-00000-PC-TSP-5004_00_1_Process_Design_Criteria.pdf" TargetMode="External"/><Relationship Id="rId148" Type="http://schemas.openxmlformats.org/officeDocument/2006/relationships/hyperlink" Target="../../../Contract/Specifications/20-20967/GCC-CC7-PF-00000-PE-TSP-7001_00_1_Requirements_for_Package_units.pdf" TargetMode="External"/><Relationship Id="rId169" Type="http://schemas.openxmlformats.org/officeDocument/2006/relationships/hyperlink" Target="../../../Contract/Specifications/20-20967/GCC-CC7-PF-00000-SS-TSP-1002_00_1_General_Structural_Specification.pdf" TargetMode="External"/><Relationship Id="rId334" Type="http://schemas.openxmlformats.org/officeDocument/2006/relationships/hyperlink" Target="6.%20SOW/Annex%203_Technical%20Requirements,%20Technical%20Specifications/Technical%20Requirements,%20Technical%20Specifications/GCC-CC7-PM-00000-ME-TSP-00001_AA_2%20(1).pdf" TargetMode="External"/><Relationship Id="rId355"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8_AA_2.pdf" TargetMode="External"/><Relationship Id="rId376" Type="http://schemas.openxmlformats.org/officeDocument/2006/relationships/hyperlink" Target="file:///\\runas02\GENERAL\Modules_Budgets\20-20965%20-%20BCC%20MDP%20AlphaB+H\ITB-16.03.21\06%20Scope%20of%20Work\ATTACHMENT%206.%20Scope%20of%20Work_LAO.pdf" TargetMode="External"/><Relationship Id="rId397" Type="http://schemas.openxmlformats.org/officeDocument/2006/relationships/hyperlink" Target="file:///\\runas02\GENERAL\Modules_Budgets\20-20965%20-%20BCC%20MDP%20AlphaB+H\ITB-16.03.21\06%20Scope%20of%20Work\ATTACHMENT%206.%20Scope%20of%20Work_LAO.pdf" TargetMode="External"/><Relationship Id="rId4" Type="http://schemas.openxmlformats.org/officeDocument/2006/relationships/hyperlink" Target="../GCC-CC7-AXE-TRM-00001/GCC-CC7-PF-00000-CI-TSP-6001_00_2_Piperack_Design_Specification.docx" TargetMode="External"/><Relationship Id="rId180" Type="http://schemas.openxmlformats.org/officeDocument/2006/relationships/hyperlink" Target="../../../Contract/Specifications/20-20967/GCC-CC7-PF-00000-IN-TSP-8013_00_Bl.pdf" TargetMode="External"/><Relationship Id="rId215" Type="http://schemas.openxmlformats.org/officeDocument/2006/relationships/hyperlink" Target="6.%20SOW\Annex%203_Technical%20Requirements,%20Technical%20Specifications\Technical%20Requirements,%20Technical%20Specifications\GCC-CC7-PM-00000-ME-TSP-00001_AA_2%20(1).pdf" TargetMode="External"/><Relationship Id="rId236" Type="http://schemas.openxmlformats.org/officeDocument/2006/relationships/hyperlink" Target="6.%20SOW/Annex%203_Technical%20Requirements,%20Technical%20Specifications/Technical%20Requirements,%20Technical%20Specifications/GCC-CC7-PM-00000-ME-TSP-00006_00_2.pdf" TargetMode="External"/><Relationship Id="rId257" Type="http://schemas.openxmlformats.org/officeDocument/2006/relationships/hyperlink" Target="6.%20SOW/Annex%203_Technical%20Requirements,%20Technical%20Specifications/Technical%20Requirements,%20Technical%20Specifications/GCC-CC7-PM-00000-ME-TSP-00006_00_2.pdf" TargetMode="External"/><Relationship Id="rId278" Type="http://schemas.openxmlformats.org/officeDocument/2006/relationships/hyperlink" Target="6.%20SOW/Annex%203_Technical%20Requirements,%20Technical%20Specifications/Technical%20Requirements,%20Technical%20Specifications/GCC-CC7-PM-00000-ME-TSP-00006_00_2.pdf" TargetMode="External"/><Relationship Id="rId401" Type="http://schemas.openxmlformats.org/officeDocument/2006/relationships/hyperlink" Target="file:///\\runas02\GENERAL\Modules_Budgets\20-20965%20-%20BCC%20MDP%20AlphaB+H\ITB-16.03.21\06%20Scope%20of%20Work\ATTACHMENT%206.%20Scope%20of%20Work_LAO.pdf" TargetMode="External"/><Relationship Id="rId422" Type="http://schemas.openxmlformats.org/officeDocument/2006/relationships/hyperlink" Target="file:///\\runas02\GENERAL\Modules_Budgets\20-20965%20-%20BCC%20MDP%20AlphaB+H\ITB-16.03.21\06%20Scope%20of%20Work\ATTACHMENT%206.%20Scope%20of%20Work_LAO.pdf" TargetMode="External"/><Relationship Id="rId303" Type="http://schemas.openxmlformats.org/officeDocument/2006/relationships/hyperlink" Target="6.%20SOW/Annex%203_Technical%20Requirements,%20Technical%20Specifications/Technical%20Requirements,%20Technical%20Specifications/GCC-CC7-PM-00000-ME-TSP-00001_AA_2%20(1).pdf" TargetMode="External"/><Relationship Id="rId42" Type="http://schemas.openxmlformats.org/officeDocument/2006/relationships/hyperlink" Target="../../../Contract/Specifications/20-20967/GCC-CC7-PF-00000-IN-TSP-8013_00_Bl.pdf" TargetMode="External"/><Relationship Id="rId84" Type="http://schemas.openxmlformats.org/officeDocument/2006/relationships/hyperlink" Target="../../../Contract/Specifications/20-20967/GCC-CC7-PF-00000-OP-TSP-5003_00_1_Operating_and_Maintenance_Philosophy.pdf" TargetMode="External"/><Relationship Id="rId138" Type="http://schemas.openxmlformats.org/officeDocument/2006/relationships/hyperlink" Target="../../../Contract/Specifications/20-20967/GCC-CC7-PF-00000-PE-TSP-7001_00_1_Requirements_for_Package_units.pdf" TargetMode="External"/><Relationship Id="rId345" Type="http://schemas.openxmlformats.org/officeDocument/2006/relationships/hyperlink" Target="6.%20SOW/Annex%203_Technical%20Requirements,%20Technical%20Specifications/Technical%20Requirements,%20Technical%20Specifications/GCC-CC7-PM-00000-ME-TSP-00001_AA_2%20(1).pdf" TargetMode="External"/><Relationship Id="rId387" Type="http://schemas.openxmlformats.org/officeDocument/2006/relationships/hyperlink" Target="file:///\\runas02\GENERAL\Modules_Budgets\20-20965%20-%20BCC%20MDP%20AlphaB+H\ITB-16.03.21\06%20Scope%20of%20Work\ATTACHMENT%206.%20Scope%20of%20Work_LAO.pdf" TargetMode="External"/><Relationship Id="rId191" Type="http://schemas.openxmlformats.org/officeDocument/2006/relationships/hyperlink" Target="../../../Contract/Specifications/20-20967/GCC-CC7-PF-00000-EL-TSP-9011_00_3_Electrical_Requirements_for_Mechanical_Equipment.pdf" TargetMode="External"/><Relationship Id="rId205" Type="http://schemas.openxmlformats.org/officeDocument/2006/relationships/hyperlink" Target="../../../Contract/Specifications/20-20967/GCC-CC7-PF-00000-PI-TSP-6002_00_3_Piping_Design_Specification.pdf" TargetMode="External"/><Relationship Id="rId247" Type="http://schemas.openxmlformats.org/officeDocument/2006/relationships/hyperlink" Target="6.%20SOW/Annex%203_Technical%20Requirements,%20Technical%20Specifications/Technical%20Requirements,%20Technical%20Specifications/GCC-CC7-PM-00000-ME-TSP-00006_00_2.pdf" TargetMode="External"/><Relationship Id="rId412" Type="http://schemas.openxmlformats.org/officeDocument/2006/relationships/hyperlink" Target="file:///\\runas02\GENERAL\Modules_Budgets\20-20965%20-%20BCC%20MDP%20AlphaB+H\ITB-16.03.21\06%20Scope%20of%20Work\ATTACHMENT%206.%20Scope%20of%20Work_LAO.pdf" TargetMode="External"/><Relationship Id="rId107" Type="http://schemas.openxmlformats.org/officeDocument/2006/relationships/hyperlink" Target="../../../Contract/Specifications/20-20967/GCC-CC7-PF-00000-PC-TSP-5004_00_1_Process_Design_Criteria.pdf" TargetMode="External"/><Relationship Id="rId289" Type="http://schemas.openxmlformats.org/officeDocument/2006/relationships/hyperlink" Target="6.%20SOW/Annex%203_Technical%20Requirements,%20Technical%20Specifications/Technical%20Requirements,%20Technical%20Specifications/GCC-CC7-PM-00000-ME-TSP-00006_00_2.pdf" TargetMode="External"/><Relationship Id="rId11" Type="http://schemas.openxmlformats.org/officeDocument/2006/relationships/hyperlink" Target="..\GCC-CC7-AXE-TRM-00001\GCC-CC7-PF-00000-ME-TSP-5006_00_1_Mechanical_Equipment_Design_Criteria.pdf" TargetMode="External"/><Relationship Id="rId53" Type="http://schemas.openxmlformats.org/officeDocument/2006/relationships/hyperlink" Target="../../../Contract/Specifications/20-20967/GCC-CC7-PF-00000-ME-TSP-5006_00_1_Mechanical_Equipment_Design_Criteria.pdf" TargetMode="External"/><Relationship Id="rId149" Type="http://schemas.openxmlformats.org/officeDocument/2006/relationships/hyperlink" Target="../../../Contract/Specifications/20-20967/GCC-CC7-PF-00000-PE-TSP-7001_00_1_Requirements_for_Package_units.pdf" TargetMode="External"/><Relationship Id="rId314" Type="http://schemas.openxmlformats.org/officeDocument/2006/relationships/hyperlink" Target="6.%20SOW/Annex%203_Technical%20Requirements,%20Technical%20Specifications/Technical%20Requirements,%20Technical%20Specifications/GCC-CC7-PM-00000-ME-TSP-00001_AA_2%20(1).pdf" TargetMode="External"/><Relationship Id="rId356" Type="http://schemas.openxmlformats.org/officeDocument/2006/relationships/hyperlink" Target="file:///\\runas02\GENERAL\Modules_Budgets\20-20965%20-%20BCC%20MDP%20AlphaB+H\ITB-16.03.21\06%20Scope%20of%20Work\ATTACHMENT%206.%20Scope%20of%20Work_LAO.pdf" TargetMode="External"/><Relationship Id="rId398" Type="http://schemas.openxmlformats.org/officeDocument/2006/relationships/hyperlink" Target="file:///\\runas02\GENERAL\Modules_Budgets\20-20965%20-%20BCC%20MDP%20AlphaB+H\ITB-16.03.21\06%20Scope%20of%20Work\ATTACHMENT%206.%20Scope%20of%20Work_LAO.pdf" TargetMode="External"/><Relationship Id="rId95" Type="http://schemas.openxmlformats.org/officeDocument/2006/relationships/hyperlink" Target="../../../Contract/Specifications/20-20967/GCC-CC7-PF-00000-PC-TSP-5004_00_1_Process_Design_Criteria.pdf" TargetMode="External"/><Relationship Id="rId160" Type="http://schemas.openxmlformats.org/officeDocument/2006/relationships/hyperlink" Target="../../../Contract/Specifications/20-20967/GCC-CC7-PF-00000-SQ-TSP-5012_00_1_Design_Specifications_for_Vessels_and_Apparatuses.pdf" TargetMode="External"/><Relationship Id="rId216" Type="http://schemas.openxmlformats.org/officeDocument/2006/relationships/hyperlink" Target="6.%20SOW/Annex%203_Technical%20Requirements,%20Technical%20Specifications/Technical%20Requirements,%20Technical%20Specifications/GCC-CC7-PM-00000-ME-TSP-00006_00_2.pdf" TargetMode="External"/><Relationship Id="rId423" Type="http://schemas.openxmlformats.org/officeDocument/2006/relationships/hyperlink" Target="file:///\\runas02\GENERAL\Modules_Budgets\20-20965%20-%20BCC%20MDP%20AlphaB+H\ITB-16.03.21\06%20Scope%20of%20Work\ATTACHMENT%206.%20Scope%20of%20Work_LAO.pdf" TargetMode="External"/><Relationship Id="rId258" Type="http://schemas.openxmlformats.org/officeDocument/2006/relationships/hyperlink" Target="6.%20SOW/Annex%203_Technical%20Requirements,%20Technical%20Specifications/Technical%20Requirements,%20Technical%20Specifications/GCC-CC7-PM-00000-ME-TSP-00006_00_2.pdf" TargetMode="External"/><Relationship Id="rId22" Type="http://schemas.openxmlformats.org/officeDocument/2006/relationships/hyperlink" Target="20-20967\GCC-CC7-PF-00000-RQ-TSP-7002_00_1_Customer's_Specification_for_the_Supply_of_Pump_Units.pdf" TargetMode="External"/><Relationship Id="rId64" Type="http://schemas.openxmlformats.org/officeDocument/2006/relationships/hyperlink" Target="../../../Contract/Specifications/20-20967/GCC-CC7-PF-00000-ME-TSP-5006_00_1_Mechanical_Equipment_Design_Criteria.pdf" TargetMode="External"/><Relationship Id="rId118" Type="http://schemas.openxmlformats.org/officeDocument/2006/relationships/hyperlink" Target="../../../Contract/Specifications/20-20967/GCC-CC7-PF-00000-PE-TSP-7001_00_1_Requirements_for_Package_units.pdf" TargetMode="External"/><Relationship Id="rId325" Type="http://schemas.openxmlformats.org/officeDocument/2006/relationships/hyperlink" Target="6.%20SOW/Annex%203_Technical%20Requirements,%20Technical%20Specifications/Technical%20Requirements,%20Technical%20Specifications/GCC-CC7-PM-00000-ME-TSP-00001_AA_2%20(1).pdf" TargetMode="External"/><Relationship Id="rId367" Type="http://schemas.openxmlformats.org/officeDocument/2006/relationships/hyperlink" Target="file:///\\runas02\GENERAL\Modules_Budgets\20-20965%20-%20BCC%20MDP%20AlphaB+H\ITB-16.03.21\06%20Scope%20of%20Work\ATTACHMENT%206.%20Scope%20of%20Work_LAO.pdf" TargetMode="External"/><Relationship Id="rId171" Type="http://schemas.openxmlformats.org/officeDocument/2006/relationships/hyperlink" Target="../../../Contract/Specifications/20-20967/GCC-CC7-PF-00000-SS-TSP-1002_00_1_General_Structural_Specification.pdf" TargetMode="External"/><Relationship Id="rId227" Type="http://schemas.openxmlformats.org/officeDocument/2006/relationships/hyperlink" Target="6.%20SOW/Annex%203_Technical%20Requirements,%20Technical%20Specifications/Technical%20Requirements,%20Technical%20Specifications/GCC-CC7-PM-00000-ME-TSP-00006_00_2.pdf" TargetMode="External"/><Relationship Id="rId269" Type="http://schemas.openxmlformats.org/officeDocument/2006/relationships/hyperlink" Target="6.%20SOW/Annex%203_Technical%20Requirements,%20Technical%20Specifications/Technical%20Requirements,%20Technical%20Specifications/GCC-CC7-PM-00000-ME-TSP-00006_00_2.pdf" TargetMode="External"/><Relationship Id="rId434" Type="http://schemas.openxmlformats.org/officeDocument/2006/relationships/hyperlink" Target="file:///\\runas02\GENERAL\Modules_Budgets\20-20965%20-%20BCC%20MDP%20AlphaB+H\ITB-16.03.21\06%20Scope%20of%20Work\ATTACHMENT%206.%20Scope%20of%20Work_LAO.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file:///\\runas02\GENERAL\Modules_Budgets\20-20965%20-%20BCC%20MDP%20AlphaB+H\ITB-16.03.21\06%20Scope%20of%20Work\ATTACHMENT%206.%20Scope%20of%20Work_LAO.pdf" TargetMode="External"/><Relationship Id="rId2" Type="http://schemas.openxmlformats.org/officeDocument/2006/relationships/hyperlink" Target="file:///\\runas02\GENERAL\Modules_Budgets\20-20965%20-%20BCC%20MDP%20AlphaB+H\ITB-16.03.21\06%20Scope%20of%20Work\ATTACHMENT%206.%20Scope%20of%20Work_LAO.pdf" TargetMode="External"/><Relationship Id="rId1" Type="http://schemas.openxmlformats.org/officeDocument/2006/relationships/hyperlink" Target="6.%20SOW/Annex%203_Technical%20Requirements,%20Technical%20Specifications/Technical%20Requirements,%20Technical%20Specifications/GCC-CC7-PM-00000-ME-TSP-00006_00_2.pdf" TargetMode="External"/><Relationship Id="rId5" Type="http://schemas.openxmlformats.org/officeDocument/2006/relationships/hyperlink" Target="file:///\\runas02\GENERAL\Modules_Budgets\20-20965%20-%20BCC%20MDP%20AlphaB+H\ITB-16.03.21\06%20Scope%20of%20Work\ATTACHMENT%206.%20Scope%20of%20Work_LAO.pdf" TargetMode="External"/><Relationship Id="rId4" Type="http://schemas.openxmlformats.org/officeDocument/2006/relationships/hyperlink" Target="file:///\\runas02\GENERAL\Modules_Budgets\20-20965%20-%20BCC%20MDP%20AlphaB+H\ITB-16.03.21\06%20Scope%20of%20Work\ATTACHMENT%206.%20Scope%20of%20Work_LAO.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GCC-CC7-AXE-TRM-00001\GCC-CC7-PF-00000-ME-TSP-5006_00_1_Mechanical_Equipment_Design_Criteria.pdf" TargetMode="External"/><Relationship Id="rId13" Type="http://schemas.openxmlformats.org/officeDocument/2006/relationships/hyperlink" Target="..\GCC-CC7-AXE-TRM-00001\GCC-CC7-PF-00000-PE-TSP-7001_00_1_Requirements_for_Package_units.pdf" TargetMode="External"/><Relationship Id="rId18" Type="http://schemas.openxmlformats.org/officeDocument/2006/relationships/hyperlink" Target="..\..\..\01-%20RFQ\RFQ\GCC-CC7-AXE-TRM-00001\GCC-CC7-PF-00000-SQ-TSP-5012_00_1_Design_Specifications_for_Vessels_and_Apparatuses.pdf" TargetMode="External"/><Relationship Id="rId26" Type="http://schemas.openxmlformats.org/officeDocument/2006/relationships/hyperlink" Target="..\GCC-CC7-AXE-TRM-00001\GCC-CC7-PF-00000-ME-TSP-5006_00_1_Mechanical_Equipment_Design_Criteria.pdf" TargetMode="External"/><Relationship Id="rId3" Type="http://schemas.openxmlformats.org/officeDocument/2006/relationships/hyperlink" Target="../GCC-CC7-AXE-TRM-00001/GCC-CC7-PF-00000-PC-TSP-5004_00_1_Process_Design_Criteria.pdf" TargetMode="External"/><Relationship Id="rId21" Type="http://schemas.openxmlformats.org/officeDocument/2006/relationships/hyperlink" Target="..\GCC-CC7-AXE-TRM-00001\GCC-CC7-PF-00000-SQ-TSP-5012_00_1_Design_Specifications_for_Vessels_and_Apparatuses.pdf" TargetMode="External"/><Relationship Id="rId7" Type="http://schemas.openxmlformats.org/officeDocument/2006/relationships/hyperlink" Target="..\GCC-CC7-AXE-TRM-00001\GCC-CC7-PF-00000-ME-TSP-5006_00_1_Mechanical_Equipment_Design_Criteria.pdf" TargetMode="External"/><Relationship Id="rId12" Type="http://schemas.openxmlformats.org/officeDocument/2006/relationships/hyperlink" Target="../GCC-CC7-AXE-TRM-00001/GCC-CC7-PF-00000-PA-TSP-5007_00_1_EQUIPMENT_AND_PIPING_PAINTING_SPECIFICATION.pdf" TargetMode="External"/><Relationship Id="rId17" Type="http://schemas.openxmlformats.org/officeDocument/2006/relationships/hyperlink" Target="..\GCC-CC7-AXE-TRM-00001\GCC-CC7-PF-00000-PE-TSP-7001_00_1_Requirements_for_Package_units.pdf" TargetMode="External"/><Relationship Id="rId25" Type="http://schemas.openxmlformats.org/officeDocument/2006/relationships/hyperlink" Target="..\GCC-CC7-AXE-TRM-00001\GCC-CC7-PF-00000-ME-TSP-5006_00_1_Mechanical_Equipment_Design_Criteria.pdf" TargetMode="External"/><Relationship Id="rId2" Type="http://schemas.openxmlformats.org/officeDocument/2006/relationships/hyperlink" Target="../GCC-CC7-AXE-TRM-00001/GCC-CC7-PF-00000-PC-TSP-5004_00_1_Process_Design_Criteria.pdf" TargetMode="External"/><Relationship Id="rId16" Type="http://schemas.openxmlformats.org/officeDocument/2006/relationships/hyperlink" Target="..\GCC-CC7-AXE-TRM-00001\GCC-CC7-PF-00000-SQ-TSP-5012_00_1_Design_Specifications_for_Vessels_and_Apparatuses.pdf" TargetMode="External"/><Relationship Id="rId20" Type="http://schemas.openxmlformats.org/officeDocument/2006/relationships/hyperlink" Target="..\GCC-CC7-AXE-TRM-00001\GCC-CC7-PF-00000-SQ-TSP-5012_00_1_Design_Specifications_for_Vessels_and_Apparatuses.pdf" TargetMode="External"/><Relationship Id="rId29" Type="http://schemas.openxmlformats.org/officeDocument/2006/relationships/hyperlink" Target="..\GCC-CC7-AXE-TRM-00001\GCC-CC7-PF-00000-ME-TSP-5006_00_1_Mechanical_Equipment_Design_Criteria.pdf" TargetMode="External"/><Relationship Id="rId1" Type="http://schemas.openxmlformats.org/officeDocument/2006/relationships/hyperlink" Target="..\GCC-CC7-AXE-TRM-00001\GCC-CC7-PF-00000-OP-TSP-5003_00_1_Operating_and_Maintenance_Philosophy.pdf" TargetMode="External"/><Relationship Id="rId6" Type="http://schemas.openxmlformats.org/officeDocument/2006/relationships/hyperlink" Target="..\GCC-CC7-AXE-TRM-00001\GCC-CC7-PF-00000-ME-TSP-5006_00_1_Mechanical_Equipment_Design_Criteria.pdf" TargetMode="External"/><Relationship Id="rId11" Type="http://schemas.openxmlformats.org/officeDocument/2006/relationships/hyperlink" Target="..\GCC-CC7-AXE-TRM-00001\GCC-CC7-PF-00000-ME-TSP-5006_00_1_Mechanical_Equipment_Design_Criteria.pdf" TargetMode="External"/><Relationship Id="rId24" Type="http://schemas.openxmlformats.org/officeDocument/2006/relationships/hyperlink" Target="..\GCC-CC7-AXE-TRM-00001\GCC-CC7-PF-00000-PE-TSP-7001_00_1_Requirements_for_Package_units.pdf" TargetMode="External"/><Relationship Id="rId5" Type="http://schemas.openxmlformats.org/officeDocument/2006/relationships/hyperlink" Target="..\GCC-CC7-AXE-TRM-00001\GCC-CC7-PF-00000-ME-TSP-5006_00_1_Mechanical_Equipment_Design_Criteria.pdf" TargetMode="External"/><Relationship Id="rId15" Type="http://schemas.openxmlformats.org/officeDocument/2006/relationships/hyperlink" Target="..\GCC-CC7-AXE-TRM-00001\GCC-CC7-PF-00000-SQ-TSP-5012_00_1_Design_Specifications_for_Vessels_and_Apparatuses.pdf" TargetMode="External"/><Relationship Id="rId23" Type="http://schemas.openxmlformats.org/officeDocument/2006/relationships/hyperlink" Target="..\GCC-CC7-AXE-TRM-00001\GCC-CC7-PF-00000-PE-TSP-7001_00_1_Requirements_for_Package_units.pdf" TargetMode="External"/><Relationship Id="rId28" Type="http://schemas.openxmlformats.org/officeDocument/2006/relationships/hyperlink" Target="..\GCC-CC7-AXE-TRM-00001\GCC-CC7-PF-00000-ME-TSP-5006_00_1_Mechanical_Equipment_Design_Criteria.pdf" TargetMode="External"/><Relationship Id="rId10" Type="http://schemas.openxmlformats.org/officeDocument/2006/relationships/hyperlink" Target="../GCC-CC7-AXE-TRM-00001/GCC-CC7-PF-00000-PC-TSP-5004_00_1_Process_Design_Criteria.pdf" TargetMode="External"/><Relationship Id="rId19" Type="http://schemas.openxmlformats.org/officeDocument/2006/relationships/hyperlink" Target="..\..\..\01-%20RFQ\RFQ\GCC-CC7-AXE-TRM-00001\GCC-CC7-PF-00000-SQ-TSP-5012_00_1_Design_Specifications_for_Vessels_and_Apparatuses.pdf" TargetMode="External"/><Relationship Id="rId4" Type="http://schemas.openxmlformats.org/officeDocument/2006/relationships/hyperlink" Target="..\GCC-CC7-AXE-TRM-00001\GCC-CC7-PF-00000-ME-TSP-5006_00_1_Mechanical_Equipment_Design_Criteria.pdf" TargetMode="External"/><Relationship Id="rId9" Type="http://schemas.openxmlformats.org/officeDocument/2006/relationships/hyperlink" Target="..\GCC-CC7-AXE-TRM-00001\GCC-CC7-PF-00000-ME-TSP-5006_00_1_Mechanical_Equipment_Design_Criteria.pdf" TargetMode="External"/><Relationship Id="rId14" Type="http://schemas.openxmlformats.org/officeDocument/2006/relationships/hyperlink" Target="..\GCC-CC7-AXE-TRM-00001\GCC-CC7-PF-00000-ME-TSP-5006_00_1_Mechanical_Equipment_Design_Criteria.pdf" TargetMode="External"/><Relationship Id="rId22" Type="http://schemas.openxmlformats.org/officeDocument/2006/relationships/hyperlink" Target="..\GCC-CC7-AXE-TRM-00001\GCC-CC7-PF-00000-SQ-TSP-5012_00_1_Design_Specifications_for_Vessels_and_Apparatuses.pdf" TargetMode="External"/><Relationship Id="rId27" Type="http://schemas.openxmlformats.org/officeDocument/2006/relationships/hyperlink" Target="..\GCC-CC7-AXE-TRM-00001\GCC-CC7-PF-00000-ME-TSP-5006_00_1_Mechanical_Equipment_Design_Criteria.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file:///\\runas02\GENERAL\Modules_Budgets\20-20965%20-%20BCC%20MDP%20AlphaB+H\ITB-16.03.21\06%20Scope%20of%20Work\ATTACHMENT%206.%20Scope%20of%20Work_LAO.pdf" TargetMode="External"/><Relationship Id="rId18" Type="http://schemas.openxmlformats.org/officeDocument/2006/relationships/hyperlink" Target="6.%20SOW/Annex%203_Technical%20Requirements,%20Technical%20Specifications/Technical%20Requirements,%20Technical%20Specifications/GCC-CC7-PM-00000-ME-TSP-00006_00_2.pdf" TargetMode="External"/><Relationship Id="rId26" Type="http://schemas.openxmlformats.org/officeDocument/2006/relationships/hyperlink" Target="6.%20SOW/Annex%203_Technical%20Requirements,%20Technical%20Specifications/Technical%20Requirements,%20Technical%20Specifications/GCC-CC7-PM-00000-ME-TSP-00006_00_2.pdf" TargetMode="External"/><Relationship Id="rId39" Type="http://schemas.openxmlformats.org/officeDocument/2006/relationships/hyperlink" Target="file:///\\runas02\GENERAL\Modules_Budgets\20-20965%20-%20BCC%20MDP%20AlphaB+H\ITB-16.03.21\06%20Scope%20of%20Work\ATTACHMENT%206.%20Scope%20of%20Work_LAO.pdf" TargetMode="External"/><Relationship Id="rId3" Type="http://schemas.openxmlformats.org/officeDocument/2006/relationships/hyperlink" Target="file:///\\runas02\GENERAL\Modules_Budgets\20-20965%20-%20BCC%20MDP%20AlphaB+H\ITB-16.03.21\06%20Scope%20of%20Work\ATTACHMENT%206.%20Scope%20of%20Work_LAO.pdf" TargetMode="External"/><Relationship Id="rId21" Type="http://schemas.openxmlformats.org/officeDocument/2006/relationships/hyperlink" Target="6.%20SOW/Annex%203_Technical%20Requirements,%20Technical%20Specifications/Technical%20Requirements,%20Technical%20Specifications/GCC-CC7-PM-00000-ME-TSP-00001_AA_2%20(1).pdf" TargetMode="External"/><Relationship Id="rId34" Type="http://schemas.openxmlformats.org/officeDocument/2006/relationships/hyperlink" Target="6.%20SOW/Annex%203_Technical%20Requirements,%20Technical%20Specifications/Technical%20Requirements,%20Technical%20Specifications/GCC-CC7-PM-00000-ME-TSP-00006_00_2.pdf" TargetMode="External"/><Relationship Id="rId42" Type="http://schemas.openxmlformats.org/officeDocument/2006/relationships/hyperlink" Target="file:///\\runas02\GENERAL\Modules_Budgets\20-20965%20-%20BCC%20MDP%20AlphaB+H\ITB-16.03.21\06%20Scope%20of%20Work\ATTACHMENT%206.%20Scope%20of%20Work_LAO.pdf" TargetMode="External"/><Relationship Id="rId47" Type="http://schemas.openxmlformats.org/officeDocument/2006/relationships/hyperlink" Target="file:///\\runas02\GENERAL\Modules_Budgets\20-20965%20-%20BCC%20MDP%20AlphaB+H\ITB-16.03.21\06%20Scope%20of%20Work\ATTACHMENT%206.%20Scope%20of%20Work_LAO.pdf" TargetMode="External"/><Relationship Id="rId50" Type="http://schemas.openxmlformats.org/officeDocument/2006/relationships/hyperlink" Target="file:///\\runas02\GENERAL\Modules_Budgets\20-20965%20-%20BCC%20MDP%20AlphaB+H\ITB-16.03.21\06%20Scope%20of%20Work\ATTACHMENT%206.%20Scope%20of%20Work_LAO.pdf" TargetMode="External"/><Relationship Id="rId7" Type="http://schemas.openxmlformats.org/officeDocument/2006/relationships/hyperlink" Target="file:///\\runas02\GENERAL\Modules_Budgets\20-20965%20-%20BCC%20MDP%20AlphaB+H\ITB-16.03.21\06%20Scope%20of%20Work\ATTACHMENT%206.%20Scope%20of%20Work_LAO.pdf" TargetMode="External"/><Relationship Id="rId12" Type="http://schemas.openxmlformats.org/officeDocument/2006/relationships/hyperlink" Target="6.%20SOW/Annex%203_Technical%20Requirements,%20Technical%20Specifications/Technical%20Requirements,%20Technical%20Specifications/GCC-CC7-PM-00000-ME-TSP-00006_00_2.pdf" TargetMode="External"/><Relationship Id="rId17" Type="http://schemas.openxmlformats.org/officeDocument/2006/relationships/hyperlink" Target="file:///\\runas02\GENERAL\Modules_Budgets\20-20965%20-%20BCC%20MDP%20AlphaB+H\ITB-16.03.21\06%20Scope%20of%20Work\ATTACHMENT%206.%20Scope%20of%20Work_LAO.pdf" TargetMode="External"/><Relationship Id="rId25" Type="http://schemas.openxmlformats.org/officeDocument/2006/relationships/hyperlink" Target="6.%20SOW/Annex%203_Technical%20Requirements,%20Technical%20Specifications/Technical%20Requirements,%20Technical%20Specifications/GCC-CC7-PM-00000-ME-TSP-00001_AA_2%20(1).pdf" TargetMode="External"/><Relationship Id="rId33" Type="http://schemas.openxmlformats.org/officeDocument/2006/relationships/hyperlink" Target="6.%20SOW/Annex%203_Technical%20Requirements,%20Technical%20Specifications/Technical%20Requirements,%20Technical%20Specifications/GCC-CC7-PM-00000-ME-TSP-00006_00_2.pdf" TargetMode="External"/><Relationship Id="rId38" Type="http://schemas.openxmlformats.org/officeDocument/2006/relationships/hyperlink" Target="file:///\\runas02\GENERAL\Modules_Budgets\20-20965%20-%20BCC%20MDP%20AlphaB+H\ITB-16.03.21\06%20Scope%20of%20Work\ATTACHMENT%206.%20Scope%20of%20Work_LAO.pdf" TargetMode="External"/><Relationship Id="rId46" Type="http://schemas.openxmlformats.org/officeDocument/2006/relationships/hyperlink" Target="file:///\\runas02\GENERAL\Modules_Budgets\20-20965%20-%20BCC%20MDP%20AlphaB+H\ITB-16.03.21\06%20Scope%20of%20Work\ATTACHMENT%206.%20Scope%20of%20Work_LAO.pdf" TargetMode="External"/><Relationship Id="rId2" Type="http://schemas.openxmlformats.org/officeDocument/2006/relationships/hyperlink" Target="file:///\\runas02\GENERAL\Modules_Budgets\20-20965%20-%20BCC%20MDP%20AlphaB+H\ITB-16.03.21\06%20Scope%20of%20Work\ATTACHMENT%206.%20Scope%20of%20Work_LAO.pdf" TargetMode="External"/><Relationship Id="rId16" Type="http://schemas.openxmlformats.org/officeDocument/2006/relationships/hyperlink" Target="file:///\\runas02\GENERAL\Modules_Budgets\20-20965%20-%20BCC%20MDP%20AlphaB+H\ITB-16.03.21\06%20Scope%20of%20Work\ATTACHMENT%206.%20Scope%20of%20Work_LAO.pdf" TargetMode="External"/><Relationship Id="rId20" Type="http://schemas.openxmlformats.org/officeDocument/2006/relationships/hyperlink" Target="6.%20SOW/Annex%203_Technical%20Requirements,%20Technical%20Specifications/Technical%20Requirements,%20Technical%20Specifications/GCC-CC7-PM-00000-ME-TSP-00001_AA_2%20(1).pdf" TargetMode="External"/><Relationship Id="rId29" Type="http://schemas.openxmlformats.org/officeDocument/2006/relationships/hyperlink" Target="file:///\\runas02\GENERAL\Modules_Budgets\20-20965%20-%20BCC%20MDP%20AlphaB+H\LAO\6.%20SOW\Annex%203_Technical%20Requirements,%20Technical%20Specifications\Technical%20Requirements,%20Technical%20Specifications\GCC-CC7-PM-00000-ME-TSP-00002_AA_2.pdf" TargetMode="External"/><Relationship Id="rId41" Type="http://schemas.openxmlformats.org/officeDocument/2006/relationships/hyperlink" Target="file:///\\runas02\GENERAL\Modules_Budgets\20-20965%20-%20BCC%20MDP%20AlphaB+H\ITB-16.03.21\06%20Scope%20of%20Work\ATTACHMENT%206.%20Scope%20of%20Work_LAO.pdf" TargetMode="External"/><Relationship Id="rId54" Type="http://schemas.openxmlformats.org/officeDocument/2006/relationships/printerSettings" Target="../printerSettings/printerSettings2.bin"/><Relationship Id="rId1" Type="http://schemas.openxmlformats.org/officeDocument/2006/relationships/hyperlink" Target="file:///\\runas02\GENERAL\Modules_Budgets\20-20965%20-%20BCC%20MDP%20AlphaB+H\ITB-16.03.21\06%20Scope%20of%20Work\ATTACHMENT%206.%20Scope%20of%20Work_LAO.pdf" TargetMode="External"/><Relationship Id="rId6" Type="http://schemas.openxmlformats.org/officeDocument/2006/relationships/hyperlink" Target="file:///\\runas02\GENERAL\Modules_Budgets\20-20965%20-%20BCC%20MDP%20AlphaB+H\ITB-16.03.21\06%20Scope%20of%20Work\ATTACHMENT%206.%20Scope%20of%20Work_LAO.pdf" TargetMode="External"/><Relationship Id="rId11" Type="http://schemas.openxmlformats.org/officeDocument/2006/relationships/hyperlink" Target="6.%20SOW/Annex%203_Technical%20Requirements,%20Technical%20Specifications/Technical%20Requirements,%20Technical%20Specifications/GCC-CC7-PM-00000-ME-TSP-00006_00_2.pdf" TargetMode="External"/><Relationship Id="rId24" Type="http://schemas.openxmlformats.org/officeDocument/2006/relationships/hyperlink" Target="6.%20SOW/Annex%203_Technical%20Requirements,%20Technical%20Specifications/Technical%20Requirements,%20Technical%20Specifications/GCC-CC7-PM-00000-ME-TSP-00001_AA_2%20(1).pdf" TargetMode="External"/><Relationship Id="rId32" Type="http://schemas.openxmlformats.org/officeDocument/2006/relationships/hyperlink" Target="6.%20SOW/Annex%203_Technical%20Requirements,%20Technical%20Specifications/Technical%20Requirements,%20Technical%20Specifications/GCC-CC7-PM-00000-ME-TSP-00006_00_2.pdf" TargetMode="External"/><Relationship Id="rId37" Type="http://schemas.openxmlformats.org/officeDocument/2006/relationships/hyperlink" Target="6.%20SOW/Annex%203_Technical%20Requirements,%20Technical%20Specifications/Technical%20Requirements,%20Technical%20Specifications/GCC-CC7-PM-00000-ME-TSP-00006_00_2.pdf" TargetMode="External"/><Relationship Id="rId40" Type="http://schemas.openxmlformats.org/officeDocument/2006/relationships/hyperlink" Target="file:///\\runas02\GENERAL\Modules_Budgets\20-20965%20-%20BCC%20MDP%20AlphaB+H\ITB-16.03.21\06%20Scope%20of%20Work\ATTACHMENT%206.%20Scope%20of%20Work_LAO.pdf" TargetMode="External"/><Relationship Id="rId45" Type="http://schemas.openxmlformats.org/officeDocument/2006/relationships/hyperlink" Target="6.%20SOW/Annex%203_Technical%20Requirements,%20Technical%20Specifications/Technical%20Requirements,%20Technical%20Specifications/GCC-CC7-PM-00000-ME-TSP-00006_00_2.pdf" TargetMode="External"/><Relationship Id="rId53" Type="http://schemas.openxmlformats.org/officeDocument/2006/relationships/hyperlink" Target="6.%20SOW/Annex%203_Technical%20Requirements,%20Technical%20Specifications/Technical%20Requirements,%20Technical%20Specifications/GCC-CC7-PM-00000-ME-TSP-00006_00_2.pdf" TargetMode="External"/><Relationship Id="rId5" Type="http://schemas.openxmlformats.org/officeDocument/2006/relationships/hyperlink" Target="6.%20SOW/Annex%203_Technical%20Requirements,%20Technical%20Specifications/Technical%20Requirements,%20Technical%20Specifications/GCC-CC7-PM-00000-ME-TSP-00006_00_2.pdf" TargetMode="External"/><Relationship Id="rId15" Type="http://schemas.openxmlformats.org/officeDocument/2006/relationships/hyperlink" Target="file:///\\runas02\GENERAL\Modules_Budgets\20-20965%20-%20BCC%20MDP%20AlphaB+H\ITB-16.03.21\06%20Scope%20of%20Work\ATTACHMENT%206.%20Scope%20of%20Work_LAO.pdf" TargetMode="External"/><Relationship Id="rId23" Type="http://schemas.openxmlformats.org/officeDocument/2006/relationships/hyperlink" Target="6.%20SOW/Annex%203_Technical%20Requirements,%20Technical%20Specifications/Technical%20Requirements,%20Technical%20Specifications/GCC-CC7-PM-00000-ME-TSP-00001_AA_2%20(1).pdf" TargetMode="External"/><Relationship Id="rId28" Type="http://schemas.openxmlformats.org/officeDocument/2006/relationships/hyperlink" Target="file:///\\runas02\GENERAL\Modules_Budgets\20-20965%20-%20BCC%20MDP%20AlphaB+H\ITB-16.03.21\06%20Scope%20of%20Work\ATTACHMENT%206.%20Scope%20of%20Work_LAO.pdf" TargetMode="External"/><Relationship Id="rId36" Type="http://schemas.openxmlformats.org/officeDocument/2006/relationships/hyperlink" Target="file:///\\runas02\GENERAL\Modules_Budgets\20-20965%20-%20BCC%20MDP%20AlphaB+H\ITB-16.03.21\06%20Scope%20of%20Work\ATTACHMENT%206.%20Scope%20of%20Work_LAO.pdf" TargetMode="External"/><Relationship Id="rId49" Type="http://schemas.openxmlformats.org/officeDocument/2006/relationships/hyperlink" Target="file:///\\runas02\GENERAL\Modules_Budgets\20-20965%20-%20BCC%20MDP%20AlphaB+H\ITB-16.03.21\06%20Scope%20of%20Work\ATTACHMENT%206.%20Scope%20of%20Work_LAO.pdf" TargetMode="External"/><Relationship Id="rId10" Type="http://schemas.openxmlformats.org/officeDocument/2006/relationships/hyperlink" Target="6.%20SOW/Annex%203_Technical%20Requirements,%20Technical%20Specifications/Technical%20Requirements,%20Technical%20Specifications/GCC-CC7-PM-00000-ME-TSP-00001_AA_2%20(1).pdf" TargetMode="External"/><Relationship Id="rId19" Type="http://schemas.openxmlformats.org/officeDocument/2006/relationships/hyperlink" Target="file:///\\runas02\GENERAL\Modules_Budgets\20-20965%20-%20BCC%20MDP%20AlphaB+H\ITB-16.03.21\06%20Scope%20of%20Work\ATTACHMENT%206.%20Scope%20of%20Work_LAO.pdf" TargetMode="External"/><Relationship Id="rId31" Type="http://schemas.openxmlformats.org/officeDocument/2006/relationships/hyperlink" Target="file:///\\runas02\GENERAL\Modules_Budgets\20-20965%20-%20BCC%20MDP%20AlphaB+H\ITB-16.03.21\06%20Scope%20of%20Work\ATTACHMENT%206.%20Scope%20of%20Work_LAO.pdf" TargetMode="External"/><Relationship Id="rId44" Type="http://schemas.openxmlformats.org/officeDocument/2006/relationships/hyperlink" Target="6.%20SOW/Annex%203_Technical%20Requirements,%20Technical%20Specifications/Technical%20Requirements,%20Technical%20Specifications/GCC-CC7-PM-00000-ME-TSP-00006_00_2.pdf" TargetMode="External"/><Relationship Id="rId52" Type="http://schemas.openxmlformats.org/officeDocument/2006/relationships/hyperlink" Target="file:///\\runas02\GENERAL\Modules_Budgets\20-20965%20-%20BCC%20MDP%20AlphaB+H\ITB-16.03.21\06%20Scope%20of%20Work\ATTACHMENT%206.%20Scope%20of%20Work_LAO.pdf" TargetMode="External"/><Relationship Id="rId4" Type="http://schemas.openxmlformats.org/officeDocument/2006/relationships/hyperlink" Target="file:///\\runas02\GENERAL\Modules_Budgets\20-20965%20-%20BCC%20MDP%20AlphaB+H\ITB-16.03.21\06%20Scope%20of%20Work\ATTACHMENT%206.%20Scope%20of%20Work_LAO.pdf" TargetMode="External"/><Relationship Id="rId9" Type="http://schemas.openxmlformats.org/officeDocument/2006/relationships/hyperlink" Target="6.%20SOW/Annex%203_Technical%20Requirements,%20Technical%20Specifications/Technical%20Requirements,%20Technical%20Specifications/GCC-CC7-PM-00000-ME-TSP-00006_00_2.pdf" TargetMode="External"/><Relationship Id="rId14" Type="http://schemas.openxmlformats.org/officeDocument/2006/relationships/hyperlink" Target="file:///\\runas02\GENERAL\Modules_Budgets\20-20965%20-%20BCC%20MDP%20AlphaB+H\ITB-16.03.21\06%20Scope%20of%20Work\ATTACHMENT%206.%20Scope%20of%20Work_LAO.pdf" TargetMode="External"/><Relationship Id="rId22" Type="http://schemas.openxmlformats.org/officeDocument/2006/relationships/hyperlink" Target="6.%20SOW/Annex%203_Technical%20Requirements,%20Technical%20Specifications/Technical%20Requirements,%20Technical%20Specifications/GCC-CC7-PM-00000-ME-TSP-00001_AA_2%20(1).pdf" TargetMode="External"/><Relationship Id="rId27" Type="http://schemas.openxmlformats.org/officeDocument/2006/relationships/hyperlink" Target="6.%20SOW/Annex%203_Technical%20Requirements,%20Technical%20Specifications/Technical%20Requirements,%20Technical%20Specifications/GCC-CC7-PM-00000-ME-TSP-00006_00_2.pdf" TargetMode="External"/><Relationship Id="rId30" Type="http://schemas.openxmlformats.org/officeDocument/2006/relationships/hyperlink" Target="6.%20SOW/Annex%203_Technical%20Requirements,%20Technical%20Specifications/Technical%20Requirements,%20Technical%20Specifications/GCC-CC7-PM-00000-ME-TSP-00006_00_2.pdf" TargetMode="External"/><Relationship Id="rId35" Type="http://schemas.openxmlformats.org/officeDocument/2006/relationships/hyperlink" Target="6.%20SOW/Annex%203_Technical%20Requirements,%20Technical%20Specifications/Technical%20Requirements,%20Technical%20Specifications/GCC-CC7-PM-00000-ME-TSP-00006_00_2.pdf" TargetMode="External"/><Relationship Id="rId43" Type="http://schemas.openxmlformats.org/officeDocument/2006/relationships/hyperlink" Target="file:///\\runas02\GENERAL\Modules_Budgets\20-20965%20-%20BCC%20MDP%20AlphaB+H\ITB-16.03.21\06%20Scope%20of%20Work\ATTACHMENT%206.%20Scope%20of%20Work_LAO.pdf" TargetMode="External"/><Relationship Id="rId48" Type="http://schemas.openxmlformats.org/officeDocument/2006/relationships/hyperlink" Target="file:///\\runas02\GENERAL\Modules_Budgets\20-20965%20-%20BCC%20MDP%20AlphaB+H\ITB-16.03.21\06%20Scope%20of%20Work\ATTACHMENT%206.%20Scope%20of%20Work_LAO.pdf" TargetMode="External"/><Relationship Id="rId8" Type="http://schemas.openxmlformats.org/officeDocument/2006/relationships/hyperlink" Target="file:///\\runas02\GENERAL\Modules_Budgets\20-20965%20-%20BCC%20MDP%20AlphaB+H\ITB-16.03.21\06%20Scope%20of%20Work\ATTACHMENT%206.%20Scope%20of%20Work_LAO.pdf" TargetMode="External"/><Relationship Id="rId51" Type="http://schemas.openxmlformats.org/officeDocument/2006/relationships/hyperlink" Target="file:///\\runas02\GENERAL\Modules_Budgets\20-20965%20-%20BCC%20MDP%20AlphaB+H\ITB-16.03.21\06%20Scope%20of%20Work\ATTACHMENT%206.%20Scope%20of%20Work_LAO.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www.normacs.ru/Doclist/doc/11J25.html" TargetMode="External"/><Relationship Id="rId2" Type="http://schemas.openxmlformats.org/officeDocument/2006/relationships/hyperlink" Target="http://www.normacs.ru/Doclist/doc/11J25.html" TargetMode="External"/><Relationship Id="rId1" Type="http://schemas.openxmlformats.org/officeDocument/2006/relationships/hyperlink" Target="http://www.normacs.ru/Doclist/doc/11J25.html" TargetMode="External"/><Relationship Id="rId5" Type="http://schemas.openxmlformats.org/officeDocument/2006/relationships/printerSettings" Target="../printerSettings/printerSettings4.bin"/><Relationship Id="rId4" Type="http://schemas.openxmlformats.org/officeDocument/2006/relationships/hyperlink" Target="http://www.normacs.ru/Doclist/doc/11J25.html"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tabColor rgb="FFFFFF00"/>
    <pageSetUpPr fitToPage="1"/>
  </sheetPr>
  <dimension ref="A1:AO604"/>
  <sheetViews>
    <sheetView tabSelected="1" zoomScale="50" zoomScaleNormal="50" workbookViewId="0">
      <selection activeCell="O15" sqref="O15"/>
    </sheetView>
  </sheetViews>
  <sheetFormatPr baseColWidth="10" defaultColWidth="11.54296875" defaultRowHeight="14.5"/>
  <cols>
    <col min="1" max="1" width="4.26953125" style="7" customWidth="1"/>
    <col min="2" max="2" width="9.26953125" style="7" customWidth="1"/>
    <col min="3" max="3" width="6.26953125" style="32" customWidth="1"/>
    <col min="4" max="4" width="20.453125" style="228" customWidth="1"/>
    <col min="5" max="5" width="34.1796875" style="7" customWidth="1"/>
    <col min="6" max="6" width="24.7265625" style="7" customWidth="1"/>
    <col min="7" max="7" width="21.81640625" style="7" hidden="1" customWidth="1"/>
    <col min="8" max="8" width="29.7265625" style="7" hidden="1" customWidth="1"/>
    <col min="9" max="9" width="10.81640625" style="7" customWidth="1"/>
    <col min="10" max="10" width="9.81640625" style="7" customWidth="1"/>
    <col min="11" max="11" width="101.36328125" style="206" customWidth="1"/>
    <col min="12" max="12" width="23.54296875" style="206" customWidth="1"/>
    <col min="13" max="13" width="20.1796875" style="206" customWidth="1"/>
    <col min="14" max="14" width="10.26953125" style="7" customWidth="1"/>
    <col min="15" max="15" width="4.81640625" style="7" customWidth="1"/>
    <col min="16" max="16" width="12.1796875" style="7" customWidth="1"/>
    <col min="17" max="17" width="9.54296875" style="7" customWidth="1"/>
    <col min="18" max="19" width="29.7265625" style="7" customWidth="1"/>
    <col min="20" max="20" width="8.453125" style="7" customWidth="1"/>
    <col min="21" max="21" width="10.453125" style="7" customWidth="1"/>
    <col min="22" max="22" width="60" style="7" customWidth="1"/>
    <col min="23" max="23" width="65.81640625" style="7" customWidth="1"/>
    <col min="24" max="24" width="41" style="7" customWidth="1"/>
    <col min="25" max="25" width="7.54296875" style="7" customWidth="1"/>
    <col min="26" max="26" width="6.1796875" style="7" customWidth="1"/>
    <col min="27" max="27" width="13.453125" style="32" bestFit="1" customWidth="1"/>
    <col min="28" max="28" width="11.54296875" style="7"/>
    <col min="29" max="29" width="30.453125" style="7" customWidth="1"/>
    <col min="30" max="30" width="54.81640625" style="7" customWidth="1"/>
    <col min="31" max="31" width="33.7265625" style="7" customWidth="1"/>
    <col min="32" max="32" width="37.453125" style="7" customWidth="1"/>
    <col min="33" max="33" width="10" style="7" customWidth="1"/>
    <col min="34" max="34" width="5.453125" style="7" customWidth="1"/>
    <col min="35" max="35" width="11.26953125" style="7" customWidth="1"/>
    <col min="36" max="36" width="9.1796875" style="7" customWidth="1"/>
    <col min="37" max="39" width="7.453125" style="7" customWidth="1"/>
    <col min="40" max="16384" width="11.54296875" style="7"/>
  </cols>
  <sheetData>
    <row r="1" spans="1:40" ht="21">
      <c r="C1" s="257" t="s">
        <v>0</v>
      </c>
      <c r="D1" s="257"/>
      <c r="E1" s="257"/>
      <c r="F1" s="257"/>
      <c r="G1" s="257"/>
      <c r="H1" s="257"/>
      <c r="I1" s="257"/>
      <c r="J1" s="257"/>
      <c r="K1" s="257"/>
      <c r="L1" s="257"/>
      <c r="M1" s="257"/>
      <c r="N1" s="257"/>
      <c r="O1" s="257"/>
      <c r="P1" s="257"/>
      <c r="Q1" s="257"/>
      <c r="R1" s="257"/>
      <c r="S1" s="257"/>
      <c r="T1" s="257"/>
    </row>
    <row r="2" spans="1:40" ht="21">
      <c r="B2" s="7" t="s">
        <v>290</v>
      </c>
      <c r="D2" s="8">
        <v>20967</v>
      </c>
      <c r="F2" s="256" t="s">
        <v>423</v>
      </c>
      <c r="G2" s="256"/>
      <c r="H2" s="256"/>
      <c r="K2" s="205" t="s">
        <v>322</v>
      </c>
      <c r="P2" s="165"/>
      <c r="V2" s="32" t="s">
        <v>322</v>
      </c>
    </row>
    <row r="3" spans="1:40" ht="26">
      <c r="B3" s="7" t="s">
        <v>288</v>
      </c>
      <c r="C3" s="33"/>
      <c r="D3" s="228" t="s">
        <v>422</v>
      </c>
      <c r="E3" s="7" t="s">
        <v>421</v>
      </c>
      <c r="K3" s="207" t="s">
        <v>323</v>
      </c>
      <c r="L3" s="209" t="s">
        <v>2784</v>
      </c>
      <c r="M3" s="239" t="s">
        <v>1598</v>
      </c>
      <c r="N3" s="217"/>
      <c r="O3" s="216" t="s">
        <v>22</v>
      </c>
      <c r="P3" s="215" t="s">
        <v>640</v>
      </c>
      <c r="Q3" s="215" t="s">
        <v>2785</v>
      </c>
      <c r="R3" s="213"/>
      <c r="S3" s="213"/>
      <c r="V3" s="9"/>
    </row>
    <row r="4" spans="1:40" ht="21">
      <c r="B4" s="7" t="s">
        <v>287</v>
      </c>
      <c r="C4" s="33"/>
      <c r="D4" s="8" t="s">
        <v>420</v>
      </c>
      <c r="K4" s="220" t="s">
        <v>324</v>
      </c>
      <c r="P4" s="165"/>
      <c r="V4" s="10" t="s">
        <v>2317</v>
      </c>
    </row>
    <row r="5" spans="1:40" ht="29">
      <c r="B5" s="7" t="s">
        <v>289</v>
      </c>
      <c r="C5" s="33"/>
      <c r="D5" s="256" t="s">
        <v>426</v>
      </c>
      <c r="E5" s="256"/>
      <c r="K5" s="208" t="s">
        <v>646</v>
      </c>
      <c r="L5" s="209" t="s">
        <v>2318</v>
      </c>
      <c r="M5" s="217" t="s">
        <v>2324</v>
      </c>
      <c r="N5" s="217" t="s">
        <v>2325</v>
      </c>
      <c r="O5" s="216" t="s">
        <v>22</v>
      </c>
      <c r="P5" s="215" t="s">
        <v>1349</v>
      </c>
      <c r="Q5" s="215" t="s">
        <v>2308</v>
      </c>
      <c r="R5" s="213"/>
      <c r="S5" s="213"/>
      <c r="V5" s="11"/>
      <c r="W5" s="86" t="s">
        <v>2304</v>
      </c>
      <c r="X5" s="161" t="s">
        <v>2180</v>
      </c>
      <c r="Y5" s="87"/>
      <c r="Z5" s="162" t="s">
        <v>22</v>
      </c>
      <c r="AA5" s="17" t="s">
        <v>1349</v>
      </c>
      <c r="AB5" s="17" t="s">
        <v>2308</v>
      </c>
    </row>
    <row r="6" spans="1:40" ht="29">
      <c r="B6" s="256" t="s">
        <v>1</v>
      </c>
      <c r="C6" s="256"/>
      <c r="D6" s="256"/>
      <c r="E6" s="255" t="s">
        <v>325</v>
      </c>
      <c r="F6" s="255"/>
      <c r="G6" s="255"/>
      <c r="K6" s="210" t="s">
        <v>645</v>
      </c>
      <c r="L6" s="2" t="s">
        <v>2740</v>
      </c>
      <c r="M6" s="2" t="s">
        <v>2739</v>
      </c>
      <c r="N6" s="2" t="s">
        <v>2782</v>
      </c>
      <c r="O6" s="236" t="s">
        <v>22</v>
      </c>
      <c r="P6" s="215" t="s">
        <v>1349</v>
      </c>
      <c r="Q6" s="215" t="s">
        <v>2742</v>
      </c>
      <c r="R6" s="213"/>
      <c r="S6" s="213"/>
      <c r="V6" s="34"/>
    </row>
    <row r="7" spans="1:40" ht="49.5" customHeight="1">
      <c r="C7" s="33"/>
      <c r="E7" s="255" t="s">
        <v>641</v>
      </c>
      <c r="F7" s="255"/>
      <c r="G7" s="255"/>
      <c r="I7" s="14" t="s">
        <v>401</v>
      </c>
      <c r="K7" s="166" t="s">
        <v>2328</v>
      </c>
      <c r="L7" s="209" t="s">
        <v>2321</v>
      </c>
      <c r="M7" s="218" t="s">
        <v>2322</v>
      </c>
      <c r="N7" s="213" t="s">
        <v>2323</v>
      </c>
      <c r="O7" s="216" t="s">
        <v>22</v>
      </c>
      <c r="P7" s="213"/>
      <c r="Q7" s="213"/>
      <c r="R7" s="213"/>
      <c r="S7" s="213"/>
      <c r="T7" s="14" t="s">
        <v>401</v>
      </c>
    </row>
    <row r="8" spans="1:40" ht="21">
      <c r="C8" s="33"/>
      <c r="E8" s="255" t="s">
        <v>402</v>
      </c>
      <c r="F8" s="255"/>
      <c r="G8" s="255"/>
      <c r="I8" s="7">
        <f>COUNTBLANK(I$14:I538)</f>
        <v>294</v>
      </c>
      <c r="J8" s="15" t="s">
        <v>2</v>
      </c>
      <c r="K8" s="243" t="s">
        <v>2837</v>
      </c>
      <c r="L8" s="237" t="s">
        <v>2319</v>
      </c>
      <c r="M8" s="238" t="s">
        <v>2320</v>
      </c>
      <c r="O8" s="236" t="s">
        <v>22</v>
      </c>
      <c r="P8" s="165"/>
      <c r="T8" s="7">
        <f>COUNTBLANK(T$14:T538)</f>
        <v>264</v>
      </c>
      <c r="U8" s="15" t="s">
        <v>2</v>
      </c>
    </row>
    <row r="9" spans="1:40">
      <c r="E9" s="255" t="s">
        <v>403</v>
      </c>
      <c r="F9" s="255"/>
      <c r="G9" s="255"/>
      <c r="I9" s="9">
        <f>COUNTA(I$14:I538)</f>
        <v>231</v>
      </c>
      <c r="J9" s="15" t="s">
        <v>3</v>
      </c>
      <c r="P9" s="165"/>
      <c r="T9" s="9">
        <f>COUNTA(T$14:T538)</f>
        <v>261</v>
      </c>
      <c r="U9" s="15" t="s">
        <v>3</v>
      </c>
    </row>
    <row r="10" spans="1:40">
      <c r="E10" s="255" t="s">
        <v>404</v>
      </c>
      <c r="F10" s="255"/>
      <c r="G10" s="255"/>
      <c r="I10" s="7">
        <f>I9+I8</f>
        <v>525</v>
      </c>
      <c r="J10" s="15" t="s">
        <v>4</v>
      </c>
      <c r="P10" s="165"/>
      <c r="T10" s="7">
        <f>T9+T8</f>
        <v>525</v>
      </c>
      <c r="U10" s="15" t="s">
        <v>4</v>
      </c>
    </row>
    <row r="11" spans="1:40">
      <c r="E11" s="255" t="s">
        <v>405</v>
      </c>
      <c r="F11" s="255"/>
      <c r="G11" s="255"/>
      <c r="P11" s="165"/>
    </row>
    <row r="12" spans="1:40">
      <c r="A12" s="16"/>
      <c r="P12" s="165"/>
    </row>
    <row r="13" spans="1:40" s="2" customFormat="1" ht="46.5">
      <c r="A13" s="17" t="s">
        <v>5</v>
      </c>
      <c r="B13" s="35" t="s">
        <v>6</v>
      </c>
      <c r="C13" s="35" t="s">
        <v>7</v>
      </c>
      <c r="D13" s="35" t="s">
        <v>8</v>
      </c>
      <c r="E13" s="35" t="s">
        <v>9</v>
      </c>
      <c r="F13" s="35" t="s">
        <v>10</v>
      </c>
      <c r="G13" s="35" t="s">
        <v>11</v>
      </c>
      <c r="H13" s="35" t="s">
        <v>12</v>
      </c>
      <c r="I13" s="18" t="s">
        <v>13</v>
      </c>
      <c r="J13" s="19" t="s">
        <v>8</v>
      </c>
      <c r="K13" s="211" t="s">
        <v>419</v>
      </c>
      <c r="L13" s="212" t="s">
        <v>15</v>
      </c>
      <c r="M13" s="212" t="s">
        <v>654</v>
      </c>
      <c r="N13" s="21" t="s">
        <v>326</v>
      </c>
      <c r="O13" s="22" t="s">
        <v>14</v>
      </c>
      <c r="P13" s="21" t="s">
        <v>16</v>
      </c>
      <c r="Q13" s="21" t="s">
        <v>17</v>
      </c>
      <c r="R13" s="21" t="s">
        <v>575</v>
      </c>
      <c r="S13" s="21" t="s">
        <v>3014</v>
      </c>
      <c r="T13" s="18" t="s">
        <v>13</v>
      </c>
      <c r="U13" s="19" t="s">
        <v>8</v>
      </c>
      <c r="V13" s="20" t="s">
        <v>419</v>
      </c>
      <c r="W13" s="21" t="s">
        <v>15</v>
      </c>
      <c r="X13" s="21" t="s">
        <v>654</v>
      </c>
      <c r="Y13" s="21" t="s">
        <v>326</v>
      </c>
      <c r="Z13" s="22" t="s">
        <v>14</v>
      </c>
      <c r="AA13" s="21" t="s">
        <v>16</v>
      </c>
      <c r="AB13" s="21" t="s">
        <v>17</v>
      </c>
      <c r="AC13" s="21" t="s">
        <v>575</v>
      </c>
      <c r="AD13" s="20" t="s">
        <v>419</v>
      </c>
      <c r="AE13" s="21" t="s">
        <v>15</v>
      </c>
      <c r="AF13" s="21" t="s">
        <v>654</v>
      </c>
      <c r="AG13" s="21" t="s">
        <v>326</v>
      </c>
      <c r="AH13" s="22" t="s">
        <v>14</v>
      </c>
      <c r="AI13" s="21" t="s">
        <v>16</v>
      </c>
      <c r="AJ13" s="21" t="s">
        <v>17</v>
      </c>
      <c r="AK13" s="135" t="s">
        <v>1954</v>
      </c>
      <c r="AL13" s="135" t="s">
        <v>1955</v>
      </c>
      <c r="AM13" s="135"/>
      <c r="AN13" s="135"/>
    </row>
    <row r="14" spans="1:40" s="2" customFormat="1" ht="286">
      <c r="B14" s="2">
        <v>1</v>
      </c>
      <c r="D14" s="37" t="s">
        <v>275</v>
      </c>
      <c r="E14" s="2" t="s">
        <v>276</v>
      </c>
      <c r="I14" s="18" t="s">
        <v>376</v>
      </c>
      <c r="K14" s="102" t="s">
        <v>2786</v>
      </c>
      <c r="L14" s="209" t="s">
        <v>2784</v>
      </c>
      <c r="M14" s="239" t="s">
        <v>1598</v>
      </c>
      <c r="N14" s="217"/>
      <c r="O14" s="216" t="s">
        <v>22</v>
      </c>
      <c r="P14" s="215" t="s">
        <v>2054</v>
      </c>
      <c r="Q14" s="215" t="s">
        <v>2785</v>
      </c>
      <c r="R14" s="213"/>
      <c r="S14" s="215"/>
      <c r="T14" s="18"/>
      <c r="V14" s="17"/>
      <c r="W14" s="17"/>
      <c r="X14" s="27"/>
      <c r="Y14" s="17"/>
      <c r="Z14" s="25"/>
      <c r="AA14" s="17"/>
      <c r="AB14" s="17"/>
      <c r="AC14" s="17"/>
      <c r="AD14" s="17"/>
      <c r="AE14" s="17"/>
      <c r="AF14" s="25"/>
      <c r="AG14" s="27"/>
      <c r="AH14" s="17"/>
      <c r="AI14" s="17"/>
      <c r="AJ14" s="25"/>
      <c r="AK14" s="25"/>
      <c r="AL14" s="25"/>
      <c r="AM14" s="25"/>
    </row>
    <row r="15" spans="1:40" s="2" customFormat="1" ht="26">
      <c r="B15" s="2">
        <v>2</v>
      </c>
      <c r="D15" s="37"/>
      <c r="E15" s="2" t="s">
        <v>2489</v>
      </c>
      <c r="I15" s="2" t="s">
        <v>376</v>
      </c>
      <c r="K15" s="213" t="s">
        <v>3100</v>
      </c>
      <c r="L15" s="209" t="s">
        <v>2321</v>
      </c>
      <c r="M15" s="218" t="s">
        <v>2322</v>
      </c>
      <c r="N15" s="213" t="s">
        <v>2323</v>
      </c>
      <c r="O15" s="216" t="s">
        <v>22</v>
      </c>
      <c r="P15" s="215" t="s">
        <v>1100</v>
      </c>
      <c r="Q15" s="219" t="s">
        <v>2490</v>
      </c>
      <c r="T15" s="18"/>
      <c r="V15" s="17"/>
      <c r="W15" s="17"/>
      <c r="X15" s="27"/>
      <c r="Y15" s="17"/>
      <c r="Z15" s="25"/>
      <c r="AA15" s="17"/>
      <c r="AB15" s="17"/>
      <c r="AC15" s="17"/>
      <c r="AD15" s="17"/>
      <c r="AE15" s="17"/>
      <c r="AF15" s="25"/>
      <c r="AG15" s="27"/>
      <c r="AH15" s="17"/>
      <c r="AI15" s="17"/>
      <c r="AJ15" s="25"/>
      <c r="AK15" s="25"/>
      <c r="AL15" s="25"/>
      <c r="AM15" s="25"/>
    </row>
    <row r="16" spans="1:40" s="2" customFormat="1" ht="56.25" customHeight="1">
      <c r="B16" s="2">
        <v>3</v>
      </c>
      <c r="D16" s="37"/>
      <c r="E16" s="2" t="s">
        <v>2491</v>
      </c>
      <c r="F16" s="2" t="s">
        <v>2488</v>
      </c>
      <c r="I16" s="2" t="s">
        <v>376</v>
      </c>
      <c r="K16" s="213" t="s">
        <v>3005</v>
      </c>
      <c r="L16" s="209" t="s">
        <v>2321</v>
      </c>
      <c r="M16" s="218" t="s">
        <v>2322</v>
      </c>
      <c r="N16" s="213" t="s">
        <v>2323</v>
      </c>
      <c r="O16" s="216" t="s">
        <v>22</v>
      </c>
      <c r="P16" s="215" t="s">
        <v>1103</v>
      </c>
      <c r="Q16" s="219" t="s">
        <v>2490</v>
      </c>
      <c r="T16" s="18"/>
      <c r="V16" s="17"/>
      <c r="W16" s="17"/>
      <c r="X16" s="27"/>
      <c r="Y16" s="17"/>
      <c r="Z16" s="25"/>
      <c r="AA16" s="17"/>
      <c r="AB16" s="17"/>
      <c r="AC16" s="17"/>
      <c r="AD16" s="17"/>
      <c r="AE16" s="17"/>
      <c r="AF16" s="25"/>
      <c r="AG16" s="27"/>
      <c r="AH16" s="17"/>
      <c r="AI16" s="17"/>
      <c r="AJ16" s="25"/>
      <c r="AK16" s="25"/>
      <c r="AL16" s="25"/>
      <c r="AM16" s="25"/>
    </row>
    <row r="17" spans="1:41" s="2" customFormat="1" ht="56.25" customHeight="1">
      <c r="D17" s="37"/>
      <c r="F17" s="2" t="s">
        <v>1952</v>
      </c>
      <c r="I17" s="18" t="s">
        <v>376</v>
      </c>
      <c r="K17" s="213" t="s">
        <v>3002</v>
      </c>
      <c r="L17" s="209" t="s">
        <v>2784</v>
      </c>
      <c r="M17" s="239" t="s">
        <v>1598</v>
      </c>
      <c r="N17" s="217"/>
      <c r="O17" s="216" t="s">
        <v>22</v>
      </c>
      <c r="P17" s="215" t="s">
        <v>3004</v>
      </c>
      <c r="Q17" s="215" t="s">
        <v>3003</v>
      </c>
      <c r="S17" s="17"/>
      <c r="T17" s="18"/>
      <c r="V17" s="17"/>
      <c r="W17" s="17"/>
      <c r="X17" s="27"/>
      <c r="Y17" s="17"/>
      <c r="Z17" s="25"/>
      <c r="AA17" s="17"/>
      <c r="AB17" s="17"/>
      <c r="AC17" s="17"/>
      <c r="AD17" s="17"/>
      <c r="AE17" s="17"/>
      <c r="AF17" s="25"/>
      <c r="AG17" s="27"/>
      <c r="AH17" s="17"/>
      <c r="AI17" s="17"/>
      <c r="AJ17" s="25"/>
      <c r="AK17" s="25"/>
      <c r="AL17" s="25"/>
      <c r="AM17" s="25"/>
    </row>
    <row r="18" spans="1:41" s="2" customFormat="1" ht="238.5" customHeight="1">
      <c r="B18" s="2">
        <v>4</v>
      </c>
      <c r="D18" s="37"/>
      <c r="E18" s="2" t="s">
        <v>647</v>
      </c>
      <c r="I18" s="2" t="s">
        <v>376</v>
      </c>
      <c r="J18" s="17"/>
      <c r="K18" s="166" t="s">
        <v>2331</v>
      </c>
      <c r="L18" s="209" t="s">
        <v>2321</v>
      </c>
      <c r="M18" s="218" t="s">
        <v>2322</v>
      </c>
      <c r="N18" s="213" t="s">
        <v>2323</v>
      </c>
      <c r="O18" s="216" t="s">
        <v>22</v>
      </c>
      <c r="P18" s="215" t="s">
        <v>640</v>
      </c>
      <c r="Q18" s="219" t="s">
        <v>2326</v>
      </c>
      <c r="R18" s="221" t="s">
        <v>2327</v>
      </c>
      <c r="S18" s="215"/>
      <c r="T18" s="166" t="s">
        <v>376</v>
      </c>
      <c r="U18" s="166"/>
      <c r="V18" s="166" t="s">
        <v>648</v>
      </c>
      <c r="W18" s="167" t="s">
        <v>649</v>
      </c>
      <c r="X18" s="167" t="s">
        <v>650</v>
      </c>
      <c r="Y18" s="167">
        <v>0</v>
      </c>
      <c r="Z18" s="168" t="s">
        <v>22</v>
      </c>
      <c r="AA18" s="166" t="s">
        <v>651</v>
      </c>
      <c r="AB18" s="169" t="s">
        <v>652</v>
      </c>
      <c r="AC18" s="166" t="s">
        <v>653</v>
      </c>
      <c r="AD18" s="166"/>
      <c r="AE18" s="170"/>
      <c r="AF18" s="171"/>
      <c r="AG18" s="166"/>
      <c r="AH18" s="166"/>
      <c r="AI18" s="170"/>
    </row>
    <row r="19" spans="1:41" s="2" customFormat="1" ht="275.5">
      <c r="B19" s="2">
        <v>5</v>
      </c>
      <c r="D19" s="37"/>
      <c r="E19" s="2" t="s">
        <v>277</v>
      </c>
      <c r="I19" s="18" t="s">
        <v>376</v>
      </c>
      <c r="K19" s="213" t="s">
        <v>3016</v>
      </c>
      <c r="L19" s="209" t="s">
        <v>2784</v>
      </c>
      <c r="M19" s="239" t="s">
        <v>1598</v>
      </c>
      <c r="N19" s="217"/>
      <c r="O19" s="216" t="s">
        <v>22</v>
      </c>
      <c r="P19" s="215" t="s">
        <v>2062</v>
      </c>
      <c r="Q19" s="215" t="s">
        <v>2787</v>
      </c>
      <c r="S19" s="17" t="s">
        <v>3015</v>
      </c>
      <c r="T19" s="166" t="s">
        <v>376</v>
      </c>
      <c r="U19" s="166"/>
      <c r="V19" s="166" t="s">
        <v>678</v>
      </c>
      <c r="W19" s="167" t="s">
        <v>649</v>
      </c>
      <c r="X19" s="167" t="s">
        <v>650</v>
      </c>
      <c r="Y19" s="167">
        <v>0</v>
      </c>
      <c r="Z19" s="168" t="s">
        <v>22</v>
      </c>
      <c r="AA19" s="166" t="s">
        <v>680</v>
      </c>
      <c r="AB19" s="169" t="s">
        <v>674</v>
      </c>
      <c r="AC19" s="166" t="s">
        <v>18</v>
      </c>
      <c r="AD19" s="166"/>
      <c r="AE19" s="166"/>
      <c r="AF19" s="166"/>
      <c r="AG19" s="166"/>
      <c r="AH19" s="166"/>
      <c r="AI19" s="166"/>
      <c r="AJ19" s="17"/>
      <c r="AK19" s="17"/>
      <c r="AL19" s="17"/>
      <c r="AM19" s="17"/>
    </row>
    <row r="20" spans="1:41" s="2" customFormat="1" ht="159.5">
      <c r="D20" s="37"/>
      <c r="E20" s="2" t="s">
        <v>2791</v>
      </c>
      <c r="I20" s="18" t="s">
        <v>376</v>
      </c>
      <c r="K20" s="213" t="s">
        <v>3017</v>
      </c>
      <c r="L20" s="209" t="s">
        <v>2784</v>
      </c>
      <c r="M20" s="239" t="s">
        <v>1598</v>
      </c>
      <c r="N20" s="217"/>
      <c r="O20" s="216" t="s">
        <v>22</v>
      </c>
      <c r="P20" s="215" t="s">
        <v>2792</v>
      </c>
      <c r="Q20" s="215" t="s">
        <v>2793</v>
      </c>
      <c r="S20" s="17" t="s">
        <v>3029</v>
      </c>
      <c r="T20" s="166"/>
      <c r="U20" s="166"/>
      <c r="V20" s="166"/>
      <c r="W20" s="167"/>
      <c r="X20" s="167"/>
      <c r="Y20" s="167"/>
      <c r="Z20" s="168"/>
      <c r="AA20" s="166"/>
      <c r="AB20" s="169"/>
      <c r="AC20" s="166"/>
      <c r="AD20" s="166"/>
      <c r="AE20" s="166"/>
      <c r="AF20" s="166"/>
      <c r="AG20" s="166"/>
      <c r="AH20" s="166"/>
      <c r="AI20" s="166"/>
      <c r="AJ20" s="17"/>
      <c r="AK20" s="17"/>
      <c r="AL20" s="17"/>
      <c r="AM20" s="17"/>
    </row>
    <row r="21" spans="1:41" s="2" customFormat="1" ht="304.5">
      <c r="D21" s="37"/>
      <c r="I21" s="18" t="s">
        <v>376</v>
      </c>
      <c r="K21" s="213" t="s">
        <v>2795</v>
      </c>
      <c r="L21" s="209" t="s">
        <v>2784</v>
      </c>
      <c r="M21" s="239" t="s">
        <v>1598</v>
      </c>
      <c r="N21" s="217"/>
      <c r="O21" s="216" t="s">
        <v>22</v>
      </c>
      <c r="P21" s="215" t="s">
        <v>2796</v>
      </c>
      <c r="Q21" s="215" t="s">
        <v>2793</v>
      </c>
      <c r="S21" s="17" t="s">
        <v>3018</v>
      </c>
      <c r="T21" s="166"/>
      <c r="U21" s="166"/>
      <c r="V21" s="166"/>
      <c r="W21" s="167"/>
      <c r="X21" s="167"/>
      <c r="Y21" s="167"/>
      <c r="Z21" s="168"/>
      <c r="AA21" s="166"/>
      <c r="AB21" s="169"/>
      <c r="AC21" s="166"/>
      <c r="AD21" s="166"/>
      <c r="AE21" s="166"/>
      <c r="AF21" s="166"/>
      <c r="AG21" s="166"/>
      <c r="AH21" s="166"/>
      <c r="AI21" s="166"/>
      <c r="AJ21" s="17"/>
      <c r="AK21" s="17"/>
      <c r="AL21" s="17"/>
      <c r="AM21" s="17"/>
    </row>
    <row r="22" spans="1:41" s="2" customFormat="1" ht="130.5">
      <c r="B22" s="2">
        <v>6</v>
      </c>
      <c r="D22" s="37"/>
      <c r="E22" s="2" t="s">
        <v>278</v>
      </c>
      <c r="I22" s="18" t="s">
        <v>376</v>
      </c>
      <c r="K22" s="213" t="s">
        <v>3101</v>
      </c>
      <c r="L22" s="209" t="s">
        <v>2784</v>
      </c>
      <c r="M22" s="239" t="s">
        <v>1598</v>
      </c>
      <c r="N22" s="217"/>
      <c r="O22" s="216" t="s">
        <v>22</v>
      </c>
      <c r="P22" s="215" t="s">
        <v>828</v>
      </c>
      <c r="Q22" s="215" t="s">
        <v>2794</v>
      </c>
      <c r="S22" s="2" t="s">
        <v>3102</v>
      </c>
      <c r="T22" s="166" t="s">
        <v>376</v>
      </c>
      <c r="U22" s="166"/>
      <c r="V22" s="166" t="s">
        <v>1956</v>
      </c>
      <c r="W22" s="167" t="s">
        <v>823</v>
      </c>
      <c r="X22" s="167" t="s">
        <v>664</v>
      </c>
      <c r="Y22" s="167">
        <v>0</v>
      </c>
      <c r="Z22" s="168" t="s">
        <v>22</v>
      </c>
      <c r="AA22" s="167" t="s">
        <v>651</v>
      </c>
      <c r="AB22" s="167" t="s">
        <v>825</v>
      </c>
      <c r="AC22" s="166" t="s">
        <v>826</v>
      </c>
      <c r="AD22" s="166"/>
      <c r="AE22" s="166"/>
      <c r="AF22" s="166"/>
      <c r="AG22" s="166"/>
      <c r="AH22" s="166"/>
      <c r="AI22" s="166"/>
      <c r="AJ22" s="17"/>
      <c r="AK22" s="17"/>
      <c r="AL22" s="17"/>
      <c r="AM22" s="17"/>
    </row>
    <row r="23" spans="1:41" s="2" customFormat="1" ht="116">
      <c r="B23" s="2">
        <v>7</v>
      </c>
      <c r="D23" s="37"/>
      <c r="E23" s="2" t="s">
        <v>297</v>
      </c>
      <c r="I23" s="18" t="s">
        <v>376</v>
      </c>
      <c r="K23" s="213" t="s">
        <v>3019</v>
      </c>
      <c r="L23" s="209" t="s">
        <v>2784</v>
      </c>
      <c r="M23" s="239" t="s">
        <v>1598</v>
      </c>
      <c r="N23" s="217"/>
      <c r="O23" s="216" t="s">
        <v>22</v>
      </c>
      <c r="P23" s="215" t="s">
        <v>2859</v>
      </c>
      <c r="Q23" s="215" t="s">
        <v>2858</v>
      </c>
      <c r="S23" s="17"/>
      <c r="T23" s="166" t="s">
        <v>376</v>
      </c>
      <c r="U23" s="166"/>
      <c r="V23" s="166" t="s">
        <v>1413</v>
      </c>
      <c r="W23" s="172" t="s">
        <v>1110</v>
      </c>
      <c r="X23" s="172" t="s">
        <v>1111</v>
      </c>
      <c r="Y23" s="172">
        <v>0</v>
      </c>
      <c r="Z23" s="168" t="s">
        <v>22</v>
      </c>
      <c r="AA23" s="166" t="s">
        <v>619</v>
      </c>
      <c r="AB23" s="169" t="s">
        <v>1414</v>
      </c>
      <c r="AC23" s="166"/>
      <c r="AD23" s="166"/>
      <c r="AE23" s="166"/>
      <c r="AF23" s="166"/>
      <c r="AG23" s="166"/>
      <c r="AH23" s="166"/>
      <c r="AI23" s="166"/>
      <c r="AJ23" s="17"/>
      <c r="AK23" s="17"/>
      <c r="AL23" s="17"/>
      <c r="AM23" s="17"/>
    </row>
    <row r="24" spans="1:41" s="2" customFormat="1" ht="101.5">
      <c r="D24" s="37"/>
      <c r="E24" s="2" t="s">
        <v>2968</v>
      </c>
      <c r="I24" s="18" t="s">
        <v>376</v>
      </c>
      <c r="K24" s="213" t="s">
        <v>2970</v>
      </c>
      <c r="L24" s="209" t="s">
        <v>2784</v>
      </c>
      <c r="M24" s="239" t="s">
        <v>1598</v>
      </c>
      <c r="N24" s="217"/>
      <c r="O24" s="216" t="s">
        <v>22</v>
      </c>
      <c r="P24" s="215" t="s">
        <v>2969</v>
      </c>
      <c r="Q24" s="215" t="s">
        <v>2967</v>
      </c>
      <c r="T24" s="166"/>
      <c r="U24" s="166"/>
      <c r="V24" s="166"/>
      <c r="W24" s="172"/>
      <c r="X24" s="172"/>
      <c r="Y24" s="172"/>
      <c r="Z24" s="168"/>
      <c r="AA24" s="166"/>
      <c r="AB24" s="169"/>
      <c r="AC24" s="166"/>
      <c r="AD24" s="166"/>
      <c r="AE24" s="166"/>
      <c r="AF24" s="166"/>
      <c r="AG24" s="166"/>
      <c r="AH24" s="166"/>
      <c r="AI24" s="166"/>
      <c r="AJ24" s="17"/>
      <c r="AK24" s="17"/>
      <c r="AL24" s="17"/>
      <c r="AM24" s="17"/>
    </row>
    <row r="25" spans="1:41" s="2" customFormat="1" ht="290">
      <c r="B25" s="2">
        <v>8</v>
      </c>
      <c r="D25" s="37" t="s">
        <v>293</v>
      </c>
      <c r="E25" s="2" t="s">
        <v>294</v>
      </c>
      <c r="I25" s="2" t="s">
        <v>376</v>
      </c>
      <c r="K25" s="231" t="s">
        <v>2651</v>
      </c>
      <c r="L25" s="209" t="s">
        <v>2318</v>
      </c>
      <c r="M25" s="217" t="s">
        <v>2324</v>
      </c>
      <c r="N25" s="217" t="s">
        <v>2325</v>
      </c>
      <c r="O25" s="216" t="s">
        <v>22</v>
      </c>
      <c r="P25" s="215" t="s">
        <v>680</v>
      </c>
      <c r="Q25" s="215" t="s">
        <v>2652</v>
      </c>
      <c r="R25" s="2" t="s">
        <v>2653</v>
      </c>
      <c r="S25" s="17"/>
      <c r="T25" s="166" t="s">
        <v>376</v>
      </c>
      <c r="U25" s="166"/>
      <c r="V25" s="166" t="s">
        <v>657</v>
      </c>
      <c r="W25" s="167" t="s">
        <v>608</v>
      </c>
      <c r="X25" s="167" t="s">
        <v>425</v>
      </c>
      <c r="Y25" s="167"/>
      <c r="Z25" s="168" t="s">
        <v>22</v>
      </c>
      <c r="AA25" s="166" t="s">
        <v>428</v>
      </c>
      <c r="AB25" s="169" t="s">
        <v>429</v>
      </c>
      <c r="AC25" s="166" t="s">
        <v>845</v>
      </c>
      <c r="AD25" s="166" t="s">
        <v>844</v>
      </c>
      <c r="AE25" s="167" t="s">
        <v>823</v>
      </c>
      <c r="AF25" s="167" t="s">
        <v>664</v>
      </c>
      <c r="AG25" s="167">
        <v>0</v>
      </c>
      <c r="AH25" s="167" t="s">
        <v>22</v>
      </c>
      <c r="AI25" s="167" t="s">
        <v>836</v>
      </c>
      <c r="AJ25" s="12" t="s">
        <v>835</v>
      </c>
      <c r="AK25" s="12"/>
      <c r="AL25" s="12"/>
      <c r="AM25" s="12"/>
      <c r="AN25" s="17"/>
      <c r="AO25" s="17"/>
    </row>
    <row r="26" spans="1:41" s="2" customFormat="1" ht="50.15" customHeight="1">
      <c r="B26" s="2">
        <v>9</v>
      </c>
      <c r="D26" s="37"/>
      <c r="E26" s="2" t="s">
        <v>380</v>
      </c>
      <c r="F26" s="2" t="s">
        <v>381</v>
      </c>
      <c r="G26" s="2" t="s">
        <v>382</v>
      </c>
      <c r="L26" s="213"/>
      <c r="M26" s="213"/>
      <c r="T26" s="166"/>
      <c r="U26" s="166"/>
      <c r="V26" s="166"/>
      <c r="W26" s="173"/>
      <c r="X26" s="174"/>
      <c r="Y26" s="174"/>
      <c r="Z26" s="170"/>
      <c r="AA26" s="166"/>
      <c r="AB26" s="171"/>
      <c r="AC26" s="166"/>
      <c r="AD26" s="166"/>
      <c r="AE26" s="166"/>
      <c r="AF26" s="166"/>
      <c r="AG26" s="166"/>
      <c r="AH26" s="166"/>
      <c r="AI26" s="166"/>
      <c r="AJ26" s="17"/>
      <c r="AK26" s="17"/>
      <c r="AL26" s="17"/>
      <c r="AM26" s="17"/>
      <c r="AN26" s="17"/>
      <c r="AO26" s="17"/>
    </row>
    <row r="27" spans="1:41" s="2" customFormat="1" ht="65.150000000000006" customHeight="1">
      <c r="B27" s="2">
        <v>10</v>
      </c>
      <c r="D27" s="37"/>
      <c r="E27" s="2" t="s">
        <v>2329</v>
      </c>
      <c r="I27" s="2" t="s">
        <v>376</v>
      </c>
      <c r="K27" s="213" t="s">
        <v>3020</v>
      </c>
      <c r="L27" s="209" t="s">
        <v>2321</v>
      </c>
      <c r="M27" s="218" t="s">
        <v>2322</v>
      </c>
      <c r="N27" s="213" t="s">
        <v>2323</v>
      </c>
      <c r="O27" s="216" t="s">
        <v>22</v>
      </c>
      <c r="P27" s="215" t="s">
        <v>428</v>
      </c>
      <c r="Q27" s="219" t="s">
        <v>2330</v>
      </c>
      <c r="S27" s="17"/>
      <c r="T27" s="166"/>
      <c r="U27" s="166"/>
      <c r="V27" s="166"/>
      <c r="W27" s="173"/>
      <c r="X27" s="174"/>
      <c r="Y27" s="174"/>
      <c r="Z27" s="170"/>
      <c r="AA27" s="166"/>
      <c r="AB27" s="171"/>
      <c r="AC27" s="166"/>
      <c r="AD27" s="166"/>
      <c r="AE27" s="166"/>
      <c r="AF27" s="166"/>
      <c r="AG27" s="166"/>
      <c r="AH27" s="166"/>
      <c r="AI27" s="166"/>
      <c r="AJ27" s="17"/>
      <c r="AK27" s="17"/>
      <c r="AL27" s="17"/>
      <c r="AM27" s="17"/>
      <c r="AN27" s="17"/>
      <c r="AO27" s="17"/>
    </row>
    <row r="28" spans="1:41" s="2" customFormat="1" ht="198" customHeight="1">
      <c r="B28" s="2">
        <v>11</v>
      </c>
      <c r="D28" s="37" t="s">
        <v>833</v>
      </c>
      <c r="E28" s="2" t="s">
        <v>947</v>
      </c>
      <c r="K28" s="213"/>
      <c r="L28" s="213"/>
      <c r="M28" s="213"/>
      <c r="T28" s="166" t="s">
        <v>376</v>
      </c>
      <c r="U28" s="166"/>
      <c r="V28" s="166" t="s">
        <v>1957</v>
      </c>
      <c r="W28" s="167" t="s">
        <v>823</v>
      </c>
      <c r="X28" s="167" t="s">
        <v>664</v>
      </c>
      <c r="Y28" s="167">
        <v>0</v>
      </c>
      <c r="Z28" s="168" t="s">
        <v>22</v>
      </c>
      <c r="AA28" s="167" t="s">
        <v>828</v>
      </c>
      <c r="AB28" s="167" t="s">
        <v>830</v>
      </c>
      <c r="AC28" s="166"/>
      <c r="AD28" s="166"/>
      <c r="AE28" s="166"/>
      <c r="AF28" s="166"/>
      <c r="AG28" s="166"/>
      <c r="AH28" s="166"/>
      <c r="AI28" s="166"/>
      <c r="AJ28" s="17"/>
      <c r="AK28" s="17"/>
      <c r="AL28" s="17"/>
      <c r="AM28" s="17"/>
      <c r="AN28" s="17"/>
      <c r="AO28" s="17"/>
    </row>
    <row r="29" spans="1:41" s="2" customFormat="1" ht="72.5">
      <c r="A29" s="17"/>
      <c r="B29" s="2">
        <v>12</v>
      </c>
      <c r="D29" s="37" t="s">
        <v>19</v>
      </c>
      <c r="E29" s="2" t="s">
        <v>20</v>
      </c>
      <c r="I29" s="2" t="s">
        <v>376</v>
      </c>
      <c r="K29" s="209" t="s">
        <v>3008</v>
      </c>
      <c r="L29" s="209" t="s">
        <v>2321</v>
      </c>
      <c r="M29" s="218" t="s">
        <v>2322</v>
      </c>
      <c r="N29" s="213" t="s">
        <v>2323</v>
      </c>
      <c r="O29" s="216" t="s">
        <v>22</v>
      </c>
      <c r="P29" s="215" t="s">
        <v>554</v>
      </c>
      <c r="Q29" s="219" t="s">
        <v>2492</v>
      </c>
      <c r="R29" s="2" t="s">
        <v>2493</v>
      </c>
      <c r="T29" s="166" t="s">
        <v>376</v>
      </c>
      <c r="U29" s="166"/>
      <c r="V29" s="166" t="s">
        <v>824</v>
      </c>
      <c r="W29" s="167" t="s">
        <v>823</v>
      </c>
      <c r="X29" s="167" t="s">
        <v>664</v>
      </c>
      <c r="Y29" s="167">
        <v>0</v>
      </c>
      <c r="Z29" s="168" t="s">
        <v>22</v>
      </c>
      <c r="AA29" s="167" t="s">
        <v>651</v>
      </c>
      <c r="AB29" s="167" t="s">
        <v>825</v>
      </c>
      <c r="AC29" s="166"/>
      <c r="AD29" s="166"/>
      <c r="AE29" s="166"/>
      <c r="AF29" s="166"/>
      <c r="AG29" s="166"/>
      <c r="AH29" s="166"/>
      <c r="AI29" s="166"/>
    </row>
    <row r="30" spans="1:41" s="2" customFormat="1" ht="43.5">
      <c r="B30" s="2">
        <v>13</v>
      </c>
      <c r="C30" s="2" t="s">
        <v>18</v>
      </c>
      <c r="D30" s="37"/>
      <c r="E30" s="2" t="s">
        <v>21</v>
      </c>
      <c r="K30" s="213"/>
      <c r="L30" s="213"/>
      <c r="M30" s="213"/>
      <c r="T30" s="166" t="s">
        <v>376</v>
      </c>
      <c r="U30" s="166"/>
      <c r="V30" s="166" t="s">
        <v>642</v>
      </c>
      <c r="W30" s="167" t="s">
        <v>608</v>
      </c>
      <c r="X30" s="167" t="s">
        <v>425</v>
      </c>
      <c r="Y30" s="167"/>
      <c r="Z30" s="168" t="s">
        <v>22</v>
      </c>
      <c r="AA30" s="166" t="s">
        <v>430</v>
      </c>
      <c r="AB30" s="169" t="s">
        <v>431</v>
      </c>
      <c r="AC30" s="166"/>
      <c r="AD30" s="166"/>
      <c r="AE30" s="166"/>
      <c r="AF30" s="166"/>
      <c r="AG30" s="166"/>
      <c r="AH30" s="166"/>
      <c r="AI30" s="166"/>
      <c r="AJ30" s="17"/>
      <c r="AK30" s="17"/>
      <c r="AL30" s="17"/>
      <c r="AM30" s="17"/>
      <c r="AN30" s="17"/>
      <c r="AO30" s="17"/>
    </row>
    <row r="31" spans="1:41" s="2" customFormat="1" ht="147">
      <c r="B31" s="2">
        <v>14</v>
      </c>
      <c r="D31" s="37"/>
      <c r="E31" s="2" t="s">
        <v>655</v>
      </c>
      <c r="G31" s="2" t="s">
        <v>23</v>
      </c>
      <c r="I31" s="2" t="s">
        <v>376</v>
      </c>
      <c r="K31" s="213" t="s">
        <v>2994</v>
      </c>
      <c r="L31" s="209" t="s">
        <v>2321</v>
      </c>
      <c r="M31" s="218" t="s">
        <v>2322</v>
      </c>
      <c r="N31" s="213" t="s">
        <v>2323</v>
      </c>
      <c r="O31" s="216" t="s">
        <v>22</v>
      </c>
      <c r="P31" s="215" t="s">
        <v>2333</v>
      </c>
      <c r="Q31" s="219" t="s">
        <v>2334</v>
      </c>
      <c r="R31" s="221" t="s">
        <v>2335</v>
      </c>
      <c r="S31" s="221"/>
      <c r="T31" s="166" t="s">
        <v>376</v>
      </c>
      <c r="U31" s="166"/>
      <c r="V31" s="166" t="s">
        <v>658</v>
      </c>
      <c r="W31" s="167" t="s">
        <v>649</v>
      </c>
      <c r="X31" s="167" t="s">
        <v>650</v>
      </c>
      <c r="Y31" s="167">
        <v>0</v>
      </c>
      <c r="Z31" s="168" t="s">
        <v>22</v>
      </c>
      <c r="AA31" s="166" t="s">
        <v>428</v>
      </c>
      <c r="AB31" s="169" t="s">
        <v>659</v>
      </c>
      <c r="AC31" s="166"/>
      <c r="AD31" s="166" t="s">
        <v>846</v>
      </c>
      <c r="AE31" s="167" t="s">
        <v>823</v>
      </c>
      <c r="AF31" s="167" t="s">
        <v>664</v>
      </c>
      <c r="AG31" s="167">
        <v>0</v>
      </c>
      <c r="AH31" s="167" t="s">
        <v>22</v>
      </c>
      <c r="AI31" s="167" t="s">
        <v>836</v>
      </c>
      <c r="AJ31" s="12" t="s">
        <v>835</v>
      </c>
      <c r="AK31" s="12"/>
      <c r="AL31" s="12"/>
      <c r="AM31" s="12"/>
      <c r="AN31" s="17"/>
      <c r="AO31" s="17"/>
    </row>
    <row r="32" spans="1:41" s="2" customFormat="1">
      <c r="B32" s="2">
        <v>15</v>
      </c>
      <c r="D32" s="37"/>
      <c r="E32" s="2" t="s">
        <v>834</v>
      </c>
      <c r="K32" s="213"/>
      <c r="L32" s="213"/>
      <c r="M32" s="213"/>
      <c r="T32" s="166" t="s">
        <v>376</v>
      </c>
      <c r="U32" s="166"/>
      <c r="V32" s="166" t="s">
        <v>656</v>
      </c>
      <c r="W32" s="167" t="s">
        <v>608</v>
      </c>
      <c r="X32" s="167" t="s">
        <v>425</v>
      </c>
      <c r="Y32" s="167"/>
      <c r="Z32" s="168" t="s">
        <v>22</v>
      </c>
      <c r="AA32" s="166" t="s">
        <v>432</v>
      </c>
      <c r="AB32" s="169" t="s">
        <v>431</v>
      </c>
      <c r="AC32" s="166"/>
      <c r="AD32" s="166" t="s">
        <v>837</v>
      </c>
      <c r="AE32" s="167" t="s">
        <v>823</v>
      </c>
      <c r="AF32" s="167" t="s">
        <v>664</v>
      </c>
      <c r="AG32" s="167">
        <v>0</v>
      </c>
      <c r="AH32" s="167" t="s">
        <v>22</v>
      </c>
      <c r="AI32" s="167" t="s">
        <v>836</v>
      </c>
      <c r="AJ32" s="12" t="s">
        <v>835</v>
      </c>
      <c r="AK32" s="12"/>
      <c r="AL32" s="12"/>
      <c r="AM32" s="12"/>
      <c r="AN32" s="17"/>
      <c r="AO32" s="17"/>
    </row>
    <row r="33" spans="2:41" s="2" customFormat="1" ht="58">
      <c r="B33" s="2">
        <v>16</v>
      </c>
      <c r="D33" s="37"/>
      <c r="E33" s="2" t="s">
        <v>378</v>
      </c>
      <c r="I33" s="2" t="s">
        <v>376</v>
      </c>
      <c r="K33" s="213" t="s">
        <v>2336</v>
      </c>
      <c r="L33" s="209" t="s">
        <v>2321</v>
      </c>
      <c r="M33" s="218" t="s">
        <v>2322</v>
      </c>
      <c r="N33" s="213" t="s">
        <v>2323</v>
      </c>
      <c r="O33" s="216" t="s">
        <v>22</v>
      </c>
      <c r="P33" s="215" t="s">
        <v>2337</v>
      </c>
      <c r="Q33" s="219" t="s">
        <v>2334</v>
      </c>
      <c r="R33" s="221" t="s">
        <v>2487</v>
      </c>
      <c r="S33" s="221"/>
      <c r="T33" s="166" t="s">
        <v>376</v>
      </c>
      <c r="U33" s="166"/>
      <c r="V33" s="166" t="s">
        <v>424</v>
      </c>
      <c r="W33" s="173" t="s">
        <v>427</v>
      </c>
      <c r="X33" s="167" t="s">
        <v>424</v>
      </c>
      <c r="Y33" s="167"/>
      <c r="Z33" s="168" t="s">
        <v>22</v>
      </c>
      <c r="AA33" s="166"/>
      <c r="AB33" s="171" t="s">
        <v>561</v>
      </c>
      <c r="AC33" s="166" t="s">
        <v>965</v>
      </c>
      <c r="AD33" s="166" t="s">
        <v>964</v>
      </c>
      <c r="AE33" s="167" t="s">
        <v>823</v>
      </c>
      <c r="AF33" s="167" t="s">
        <v>664</v>
      </c>
      <c r="AG33" s="167">
        <v>0</v>
      </c>
      <c r="AH33" s="167" t="s">
        <v>22</v>
      </c>
      <c r="AI33" s="175" t="s">
        <v>966</v>
      </c>
      <c r="AJ33" s="1" t="s">
        <v>967</v>
      </c>
      <c r="AK33" s="1"/>
      <c r="AL33" s="1"/>
      <c r="AM33" s="1"/>
      <c r="AN33" s="17"/>
      <c r="AO33" s="17"/>
    </row>
    <row r="34" spans="2:41" s="2" customFormat="1" ht="261">
      <c r="B34" s="2">
        <v>17</v>
      </c>
      <c r="D34" s="37" t="s">
        <v>2833</v>
      </c>
      <c r="I34" s="18" t="s">
        <v>376</v>
      </c>
      <c r="K34" s="213" t="s">
        <v>2838</v>
      </c>
      <c r="L34" s="209" t="s">
        <v>2784</v>
      </c>
      <c r="M34" s="239" t="s">
        <v>1598</v>
      </c>
      <c r="N34" s="217"/>
      <c r="O34" s="216" t="s">
        <v>22</v>
      </c>
      <c r="P34" s="215" t="s">
        <v>2839</v>
      </c>
      <c r="Q34" s="215" t="s">
        <v>2831</v>
      </c>
      <c r="S34" s="17"/>
      <c r="T34" s="166" t="s">
        <v>376</v>
      </c>
      <c r="U34" s="166"/>
      <c r="V34" s="166" t="s">
        <v>2052</v>
      </c>
      <c r="W34" s="176" t="s">
        <v>2053</v>
      </c>
      <c r="X34" s="177" t="s">
        <v>1398</v>
      </c>
      <c r="Y34" s="178"/>
      <c r="Z34" s="168" t="s">
        <v>22</v>
      </c>
      <c r="AA34" s="166" t="s">
        <v>2054</v>
      </c>
      <c r="AB34" s="169" t="s">
        <v>2055</v>
      </c>
      <c r="AC34" s="166"/>
      <c r="AD34" s="166"/>
      <c r="AE34" s="167"/>
      <c r="AF34" s="167"/>
      <c r="AG34" s="167"/>
      <c r="AH34" s="167"/>
      <c r="AI34" s="167"/>
      <c r="AJ34" s="12"/>
      <c r="AK34" s="12"/>
      <c r="AL34" s="12"/>
      <c r="AM34" s="12"/>
      <c r="AN34" s="17"/>
      <c r="AO34" s="17"/>
    </row>
    <row r="35" spans="2:41" s="2" customFormat="1" ht="116">
      <c r="D35" s="37" t="s">
        <v>2840</v>
      </c>
      <c r="I35" s="18" t="s">
        <v>376</v>
      </c>
      <c r="K35" s="213" t="s">
        <v>2935</v>
      </c>
      <c r="L35" s="209" t="s">
        <v>2784</v>
      </c>
      <c r="M35" s="239" t="s">
        <v>1598</v>
      </c>
      <c r="N35" s="217"/>
      <c r="O35" s="216" t="s">
        <v>22</v>
      </c>
      <c r="P35" s="215" t="s">
        <v>2936</v>
      </c>
      <c r="Q35" s="215" t="s">
        <v>2937</v>
      </c>
      <c r="T35" s="166"/>
      <c r="U35" s="166"/>
      <c r="V35" s="166"/>
      <c r="W35" s="176"/>
      <c r="X35" s="177"/>
      <c r="Y35" s="178"/>
      <c r="Z35" s="168"/>
      <c r="AA35" s="166"/>
      <c r="AB35" s="169"/>
      <c r="AC35" s="166"/>
      <c r="AD35" s="166"/>
      <c r="AE35" s="167"/>
      <c r="AF35" s="167"/>
      <c r="AG35" s="167"/>
      <c r="AH35" s="167"/>
      <c r="AI35" s="167"/>
      <c r="AJ35" s="12"/>
      <c r="AK35" s="12"/>
      <c r="AL35" s="12"/>
      <c r="AM35" s="12"/>
      <c r="AN35" s="17"/>
      <c r="AO35" s="17"/>
    </row>
    <row r="36" spans="2:41" s="2" customFormat="1" ht="261">
      <c r="D36" s="37" t="s">
        <v>2932</v>
      </c>
      <c r="I36" s="18" t="s">
        <v>376</v>
      </c>
      <c r="K36" s="213" t="s">
        <v>3021</v>
      </c>
      <c r="L36" s="209" t="s">
        <v>2784</v>
      </c>
      <c r="M36" s="239" t="s">
        <v>1598</v>
      </c>
      <c r="N36" s="217"/>
      <c r="O36" s="216" t="s">
        <v>22</v>
      </c>
      <c r="P36" s="215" t="s">
        <v>2933</v>
      </c>
      <c r="Q36" s="215" t="s">
        <v>2934</v>
      </c>
      <c r="S36" s="17"/>
      <c r="T36" s="166"/>
      <c r="U36" s="166"/>
      <c r="V36" s="166"/>
      <c r="W36" s="176"/>
      <c r="X36" s="177"/>
      <c r="Y36" s="178"/>
      <c r="Z36" s="168"/>
      <c r="AA36" s="166"/>
      <c r="AB36" s="169"/>
      <c r="AC36" s="166"/>
      <c r="AD36" s="166"/>
      <c r="AE36" s="167"/>
      <c r="AF36" s="167"/>
      <c r="AG36" s="167"/>
      <c r="AH36" s="167"/>
      <c r="AI36" s="167"/>
      <c r="AJ36" s="12"/>
      <c r="AK36" s="12"/>
      <c r="AL36" s="12"/>
      <c r="AM36" s="12"/>
      <c r="AN36" s="17"/>
      <c r="AO36" s="17"/>
    </row>
    <row r="37" spans="2:41" s="2" customFormat="1" ht="72.5">
      <c r="D37" s="37" t="s">
        <v>2842</v>
      </c>
      <c r="I37" s="18" t="s">
        <v>376</v>
      </c>
      <c r="K37" s="213" t="s">
        <v>2844</v>
      </c>
      <c r="L37" s="209" t="s">
        <v>2784</v>
      </c>
      <c r="M37" s="239" t="s">
        <v>1598</v>
      </c>
      <c r="N37" s="217"/>
      <c r="O37" s="216" t="s">
        <v>22</v>
      </c>
      <c r="P37" s="215" t="s">
        <v>2843</v>
      </c>
      <c r="Q37" s="215" t="s">
        <v>2841</v>
      </c>
      <c r="T37" s="166"/>
      <c r="U37" s="166"/>
      <c r="V37" s="166"/>
      <c r="W37" s="176"/>
      <c r="X37" s="177"/>
      <c r="Y37" s="178"/>
      <c r="Z37" s="168"/>
      <c r="AA37" s="166"/>
      <c r="AB37" s="169"/>
      <c r="AC37" s="166"/>
      <c r="AD37" s="166"/>
      <c r="AE37" s="167"/>
      <c r="AF37" s="167"/>
      <c r="AG37" s="167"/>
      <c r="AH37" s="167"/>
      <c r="AI37" s="167"/>
      <c r="AJ37" s="12"/>
      <c r="AK37" s="12"/>
      <c r="AL37" s="12"/>
      <c r="AM37" s="12"/>
      <c r="AN37" s="17"/>
      <c r="AO37" s="17"/>
    </row>
    <row r="38" spans="2:41" s="2" customFormat="1" ht="160.5">
      <c r="D38" s="37" t="s">
        <v>2938</v>
      </c>
      <c r="E38" s="2" t="s">
        <v>2941</v>
      </c>
      <c r="I38" s="18" t="s">
        <v>376</v>
      </c>
      <c r="K38" s="213" t="s">
        <v>3022</v>
      </c>
      <c r="L38" s="209" t="s">
        <v>2784</v>
      </c>
      <c r="M38" s="239" t="s">
        <v>1598</v>
      </c>
      <c r="N38" s="217"/>
      <c r="O38" s="216" t="s">
        <v>22</v>
      </c>
      <c r="P38" s="215" t="s">
        <v>2939</v>
      </c>
      <c r="Q38" s="215" t="s">
        <v>2940</v>
      </c>
      <c r="S38" s="17"/>
      <c r="T38" s="166"/>
      <c r="U38" s="166"/>
      <c r="V38" s="166"/>
      <c r="W38" s="176"/>
      <c r="X38" s="177"/>
      <c r="Y38" s="178"/>
      <c r="Z38" s="168"/>
      <c r="AA38" s="166"/>
      <c r="AB38" s="169"/>
      <c r="AC38" s="166"/>
      <c r="AD38" s="166"/>
      <c r="AE38" s="167"/>
      <c r="AF38" s="167"/>
      <c r="AG38" s="167"/>
      <c r="AH38" s="167"/>
      <c r="AI38" s="167"/>
      <c r="AJ38" s="12"/>
      <c r="AK38" s="12"/>
      <c r="AL38" s="12"/>
      <c r="AM38" s="12"/>
      <c r="AN38" s="17"/>
      <c r="AO38" s="17"/>
    </row>
    <row r="39" spans="2:41" s="2" customFormat="1" ht="29">
      <c r="B39" s="2">
        <v>18</v>
      </c>
      <c r="D39" s="37"/>
      <c r="E39" s="2" t="s">
        <v>24</v>
      </c>
      <c r="H39" s="2" t="s">
        <v>25</v>
      </c>
      <c r="I39" s="2" t="s">
        <v>376</v>
      </c>
      <c r="K39" s="213" t="s">
        <v>2645</v>
      </c>
      <c r="L39" s="209" t="s">
        <v>2321</v>
      </c>
      <c r="M39" s="218" t="s">
        <v>2322</v>
      </c>
      <c r="N39" s="213" t="s">
        <v>2323</v>
      </c>
      <c r="O39" s="216" t="s">
        <v>22</v>
      </c>
      <c r="P39" s="215" t="s">
        <v>635</v>
      </c>
      <c r="Q39" s="219" t="s">
        <v>2631</v>
      </c>
      <c r="S39" s="17" t="s">
        <v>3024</v>
      </c>
      <c r="T39" s="166" t="s">
        <v>376</v>
      </c>
      <c r="U39" s="166"/>
      <c r="V39" s="166" t="s">
        <v>2103</v>
      </c>
      <c r="W39" s="176" t="s">
        <v>2053</v>
      </c>
      <c r="X39" s="177" t="s">
        <v>1398</v>
      </c>
      <c r="Y39" s="178"/>
      <c r="Z39" s="168" t="s">
        <v>22</v>
      </c>
      <c r="AA39" s="166" t="s">
        <v>662</v>
      </c>
      <c r="AB39" s="169" t="s">
        <v>2104</v>
      </c>
      <c r="AC39" s="166"/>
      <c r="AD39" s="166"/>
      <c r="AE39" s="166"/>
      <c r="AF39" s="166"/>
      <c r="AG39" s="166"/>
      <c r="AH39" s="166"/>
      <c r="AI39" s="166"/>
      <c r="AJ39" s="17"/>
      <c r="AK39" s="17"/>
      <c r="AL39" s="17"/>
      <c r="AM39" s="17"/>
      <c r="AN39" s="17"/>
      <c r="AO39" s="17"/>
    </row>
    <row r="40" spans="2:41" s="2" customFormat="1" ht="188.5">
      <c r="D40" s="37"/>
      <c r="E40" s="2" t="s">
        <v>24</v>
      </c>
      <c r="I40" s="18" t="s">
        <v>376</v>
      </c>
      <c r="K40" s="213" t="s">
        <v>3023</v>
      </c>
      <c r="L40" s="209" t="s">
        <v>2784</v>
      </c>
      <c r="M40" s="239" t="s">
        <v>1598</v>
      </c>
      <c r="N40" s="217"/>
      <c r="O40" s="216" t="s">
        <v>22</v>
      </c>
      <c r="P40" s="215" t="s">
        <v>2776</v>
      </c>
      <c r="Q40" s="215" t="s">
        <v>2993</v>
      </c>
      <c r="S40" s="17"/>
      <c r="T40" s="166"/>
      <c r="U40" s="166"/>
      <c r="V40" s="166"/>
      <c r="W40" s="248"/>
      <c r="X40" s="177"/>
      <c r="Y40" s="233"/>
      <c r="Z40" s="168"/>
      <c r="AA40" s="166"/>
      <c r="AB40" s="169"/>
      <c r="AC40" s="166"/>
      <c r="AD40" s="166"/>
      <c r="AE40" s="166"/>
      <c r="AF40" s="166"/>
      <c r="AG40" s="166"/>
      <c r="AH40" s="166"/>
      <c r="AI40" s="166"/>
      <c r="AJ40" s="17"/>
      <c r="AK40" s="17"/>
      <c r="AL40" s="17"/>
      <c r="AM40" s="17"/>
      <c r="AN40" s="17"/>
      <c r="AO40" s="17"/>
    </row>
    <row r="41" spans="2:41" s="2" customFormat="1" ht="202" customHeight="1">
      <c r="B41" s="2">
        <v>19</v>
      </c>
      <c r="D41" s="37" t="s">
        <v>45</v>
      </c>
      <c r="E41" s="2" t="s">
        <v>44</v>
      </c>
      <c r="G41" s="2" t="s">
        <v>45</v>
      </c>
      <c r="I41" s="2" t="s">
        <v>376</v>
      </c>
      <c r="K41" s="213" t="s">
        <v>3025</v>
      </c>
      <c r="L41" s="209" t="s">
        <v>2321</v>
      </c>
      <c r="M41" s="218" t="s">
        <v>2322</v>
      </c>
      <c r="N41" s="213" t="s">
        <v>2323</v>
      </c>
      <c r="O41" s="216" t="s">
        <v>22</v>
      </c>
      <c r="P41" s="215" t="s">
        <v>430</v>
      </c>
      <c r="Q41" s="219" t="s">
        <v>2332</v>
      </c>
      <c r="S41" s="17"/>
      <c r="T41" s="166"/>
      <c r="U41" s="166"/>
      <c r="V41" s="166"/>
      <c r="W41" s="166"/>
      <c r="X41" s="166"/>
      <c r="Y41" s="166"/>
      <c r="Z41" s="170"/>
      <c r="AA41" s="166"/>
      <c r="AB41" s="166"/>
      <c r="AC41" s="166"/>
      <c r="AD41" s="166"/>
      <c r="AE41" s="166"/>
      <c r="AF41" s="166"/>
      <c r="AG41" s="166"/>
      <c r="AH41" s="166"/>
      <c r="AI41" s="166"/>
      <c r="AJ41" s="17"/>
      <c r="AK41" s="17"/>
      <c r="AL41" s="17"/>
      <c r="AM41" s="17"/>
    </row>
    <row r="42" spans="2:41" s="2" customFormat="1" ht="58">
      <c r="B42" s="2">
        <v>20</v>
      </c>
      <c r="D42" s="37" t="s">
        <v>46</v>
      </c>
      <c r="E42" s="2" t="s">
        <v>755</v>
      </c>
      <c r="I42" s="2" t="s">
        <v>376</v>
      </c>
      <c r="K42" s="213" t="s">
        <v>3026</v>
      </c>
      <c r="L42" s="209" t="s">
        <v>2318</v>
      </c>
      <c r="M42" s="217" t="s">
        <v>2324</v>
      </c>
      <c r="N42" s="217" t="s">
        <v>2325</v>
      </c>
      <c r="O42" s="216" t="s">
        <v>22</v>
      </c>
      <c r="P42" s="215" t="s">
        <v>559</v>
      </c>
      <c r="Q42" s="215" t="s">
        <v>2736</v>
      </c>
      <c r="S42" s="17"/>
      <c r="T42" s="166" t="s">
        <v>376</v>
      </c>
      <c r="U42" s="166"/>
      <c r="V42" s="166" t="s">
        <v>754</v>
      </c>
      <c r="W42" s="167" t="s">
        <v>649</v>
      </c>
      <c r="X42" s="167" t="s">
        <v>650</v>
      </c>
      <c r="Y42" s="167">
        <v>0</v>
      </c>
      <c r="Z42" s="168" t="s">
        <v>22</v>
      </c>
      <c r="AA42" s="166" t="s">
        <v>559</v>
      </c>
      <c r="AB42" s="169" t="s">
        <v>747</v>
      </c>
      <c r="AC42" s="166"/>
      <c r="AD42" s="166"/>
      <c r="AE42" s="166"/>
      <c r="AF42" s="166"/>
      <c r="AG42" s="166"/>
      <c r="AH42" s="166"/>
      <c r="AI42" s="166"/>
      <c r="AJ42" s="17"/>
      <c r="AK42" s="17"/>
      <c r="AL42" s="17"/>
      <c r="AM42" s="17"/>
      <c r="AN42" s="17"/>
      <c r="AO42" s="17"/>
    </row>
    <row r="43" spans="2:41" s="2" customFormat="1" ht="228.65" customHeight="1">
      <c r="B43" s="2">
        <v>21</v>
      </c>
      <c r="D43" s="37" t="s">
        <v>18</v>
      </c>
      <c r="E43" s="2" t="s">
        <v>926</v>
      </c>
      <c r="I43" s="18" t="s">
        <v>376</v>
      </c>
      <c r="K43" s="213" t="s">
        <v>3027</v>
      </c>
      <c r="L43" s="209" t="s">
        <v>2784</v>
      </c>
      <c r="M43" s="239" t="s">
        <v>1598</v>
      </c>
      <c r="N43" s="217"/>
      <c r="O43" s="216" t="s">
        <v>22</v>
      </c>
      <c r="P43" s="215" t="s">
        <v>2811</v>
      </c>
      <c r="Q43" s="215" t="s">
        <v>2812</v>
      </c>
      <c r="S43" s="17" t="s">
        <v>3028</v>
      </c>
      <c r="T43" s="166" t="s">
        <v>376</v>
      </c>
      <c r="U43" s="166"/>
      <c r="V43" s="166" t="s">
        <v>753</v>
      </c>
      <c r="W43" s="167" t="s">
        <v>649</v>
      </c>
      <c r="X43" s="167" t="s">
        <v>650</v>
      </c>
      <c r="Y43" s="167">
        <v>0</v>
      </c>
      <c r="Z43" s="168" t="s">
        <v>22</v>
      </c>
      <c r="AA43" s="166" t="s">
        <v>559</v>
      </c>
      <c r="AB43" s="169" t="s">
        <v>747</v>
      </c>
      <c r="AC43" s="166"/>
      <c r="AD43" s="166"/>
      <c r="AE43" s="166"/>
      <c r="AF43" s="166"/>
      <c r="AG43" s="166"/>
      <c r="AH43" s="166"/>
      <c r="AI43" s="166"/>
      <c r="AJ43" s="17"/>
      <c r="AK43" s="17"/>
      <c r="AL43" s="17"/>
      <c r="AM43" s="17"/>
      <c r="AN43" s="17"/>
      <c r="AO43" s="17"/>
    </row>
    <row r="44" spans="2:41" s="2" customFormat="1" ht="274.5" customHeight="1">
      <c r="B44" s="2">
        <v>22</v>
      </c>
      <c r="D44" s="37"/>
      <c r="E44" s="2" t="s">
        <v>926</v>
      </c>
      <c r="K44" s="213"/>
      <c r="L44" s="213"/>
      <c r="M44" s="213"/>
      <c r="T44" s="166" t="s">
        <v>376</v>
      </c>
      <c r="U44" s="166"/>
      <c r="V44" s="166" t="s">
        <v>944</v>
      </c>
      <c r="W44" s="167" t="s">
        <v>823</v>
      </c>
      <c r="X44" s="167" t="s">
        <v>664</v>
      </c>
      <c r="Y44" s="167">
        <v>0</v>
      </c>
      <c r="Z44" s="168" t="s">
        <v>22</v>
      </c>
      <c r="AA44" s="167" t="s">
        <v>945</v>
      </c>
      <c r="AB44" s="167" t="s">
        <v>946</v>
      </c>
      <c r="AC44" s="166" t="s">
        <v>2060</v>
      </c>
      <c r="AD44" s="166" t="s">
        <v>2057</v>
      </c>
      <c r="AE44" s="179" t="s">
        <v>2053</v>
      </c>
      <c r="AF44" s="172" t="s">
        <v>1398</v>
      </c>
      <c r="AG44" s="178"/>
      <c r="AH44" s="168" t="s">
        <v>22</v>
      </c>
      <c r="AI44" s="166" t="s">
        <v>2058</v>
      </c>
      <c r="AJ44" s="23" t="s">
        <v>2059</v>
      </c>
      <c r="AK44" s="17"/>
      <c r="AL44" s="17"/>
      <c r="AM44" s="17"/>
      <c r="AN44" s="17"/>
      <c r="AO44" s="17"/>
    </row>
    <row r="45" spans="2:41" s="2" customFormat="1" ht="354.5">
      <c r="B45" s="2">
        <v>23</v>
      </c>
      <c r="D45" s="37"/>
      <c r="E45" s="2" t="s">
        <v>756</v>
      </c>
      <c r="I45" s="18" t="s">
        <v>376</v>
      </c>
      <c r="K45" s="213" t="s">
        <v>3030</v>
      </c>
      <c r="L45" s="209" t="s">
        <v>2784</v>
      </c>
      <c r="M45" s="239" t="s">
        <v>1598</v>
      </c>
      <c r="N45" s="217"/>
      <c r="O45" s="216" t="s">
        <v>22</v>
      </c>
      <c r="P45" s="215" t="s">
        <v>2873</v>
      </c>
      <c r="Q45" s="215" t="s">
        <v>2872</v>
      </c>
      <c r="S45" s="17" t="s">
        <v>3031</v>
      </c>
      <c r="T45" s="166" t="s">
        <v>376</v>
      </c>
      <c r="U45" s="166"/>
      <c r="V45" s="166" t="s">
        <v>757</v>
      </c>
      <c r="W45" s="167" t="s">
        <v>649</v>
      </c>
      <c r="X45" s="167" t="s">
        <v>650</v>
      </c>
      <c r="Y45" s="167">
        <v>0</v>
      </c>
      <c r="Z45" s="168" t="s">
        <v>22</v>
      </c>
      <c r="AA45" s="166" t="s">
        <v>559</v>
      </c>
      <c r="AB45" s="169" t="s">
        <v>747</v>
      </c>
      <c r="AC45" s="166"/>
      <c r="AD45" s="166"/>
      <c r="AE45" s="166"/>
      <c r="AF45" s="166"/>
      <c r="AG45" s="166"/>
      <c r="AH45" s="166"/>
      <c r="AI45" s="166"/>
      <c r="AJ45" s="17"/>
      <c r="AK45" s="17"/>
      <c r="AL45" s="17"/>
      <c r="AM45" s="17"/>
      <c r="AN45" s="17"/>
      <c r="AO45" s="17"/>
    </row>
    <row r="46" spans="2:41" s="2" customFormat="1" ht="341">
      <c r="B46" s="2">
        <v>24</v>
      </c>
      <c r="D46" s="37"/>
      <c r="E46" s="2" t="s">
        <v>2845</v>
      </c>
      <c r="G46" s="2" t="s">
        <v>46</v>
      </c>
      <c r="I46" s="18" t="s">
        <v>376</v>
      </c>
      <c r="K46" s="213" t="s">
        <v>3103</v>
      </c>
      <c r="L46" s="209" t="s">
        <v>2784</v>
      </c>
      <c r="M46" s="239" t="s">
        <v>1598</v>
      </c>
      <c r="N46" s="217"/>
      <c r="O46" s="216" t="s">
        <v>22</v>
      </c>
      <c r="P46" s="215" t="s">
        <v>2333</v>
      </c>
      <c r="Q46" s="215" t="s">
        <v>2841</v>
      </c>
      <c r="T46" s="166" t="s">
        <v>376</v>
      </c>
      <c r="U46" s="166"/>
      <c r="V46" s="180" t="s">
        <v>637</v>
      </c>
      <c r="W46" s="166" t="s">
        <v>604</v>
      </c>
      <c r="X46" s="166" t="s">
        <v>549</v>
      </c>
      <c r="Y46" s="166"/>
      <c r="Z46" s="168" t="s">
        <v>22</v>
      </c>
      <c r="AA46" s="166" t="s">
        <v>635</v>
      </c>
      <c r="AB46" s="169" t="s">
        <v>636</v>
      </c>
      <c r="AC46" s="166"/>
      <c r="AD46" s="166"/>
      <c r="AE46" s="166"/>
      <c r="AF46" s="166"/>
      <c r="AG46" s="166"/>
      <c r="AH46" s="166"/>
      <c r="AI46" s="166"/>
      <c r="AJ46" s="17"/>
      <c r="AK46" s="17"/>
      <c r="AL46" s="17"/>
      <c r="AM46" s="17"/>
      <c r="AN46" s="17"/>
      <c r="AO46" s="17"/>
    </row>
    <row r="47" spans="2:41" s="2" customFormat="1" ht="58">
      <c r="D47" s="37"/>
      <c r="E47" s="213" t="s">
        <v>2945</v>
      </c>
      <c r="I47" s="18" t="s">
        <v>376</v>
      </c>
      <c r="K47" s="213" t="s">
        <v>3104</v>
      </c>
      <c r="L47" s="209" t="s">
        <v>2784</v>
      </c>
      <c r="M47" s="239" t="s">
        <v>1598</v>
      </c>
      <c r="N47" s="217"/>
      <c r="O47" s="216" t="s">
        <v>22</v>
      </c>
      <c r="P47" s="215" t="s">
        <v>2290</v>
      </c>
      <c r="Q47" s="215" t="s">
        <v>2944</v>
      </c>
      <c r="S47" s="17" t="s">
        <v>3032</v>
      </c>
      <c r="T47" s="166"/>
      <c r="U47" s="166"/>
      <c r="V47" s="180"/>
      <c r="W47" s="166"/>
      <c r="X47" s="166"/>
      <c r="Y47" s="166"/>
      <c r="Z47" s="168"/>
      <c r="AA47" s="166"/>
      <c r="AB47" s="169"/>
      <c r="AC47" s="166"/>
      <c r="AD47" s="166"/>
      <c r="AE47" s="166"/>
      <c r="AF47" s="166"/>
      <c r="AG47" s="166"/>
      <c r="AH47" s="166"/>
      <c r="AI47" s="166"/>
      <c r="AJ47" s="17"/>
      <c r="AK47" s="17"/>
      <c r="AL47" s="17"/>
      <c r="AM47" s="17"/>
      <c r="AN47" s="17"/>
      <c r="AO47" s="17"/>
    </row>
    <row r="48" spans="2:41" s="2" customFormat="1" ht="159.5">
      <c r="B48" s="2">
        <v>25</v>
      </c>
      <c r="C48" s="2">
        <v>1</v>
      </c>
      <c r="D48" s="37" t="s">
        <v>924</v>
      </c>
      <c r="E48" s="17" t="s">
        <v>26</v>
      </c>
      <c r="F48" s="2" t="s">
        <v>27</v>
      </c>
      <c r="H48" s="2" t="s">
        <v>28</v>
      </c>
      <c r="I48" s="18" t="s">
        <v>376</v>
      </c>
      <c r="K48" s="245" t="s">
        <v>2974</v>
      </c>
      <c r="L48" s="209" t="s">
        <v>2784</v>
      </c>
      <c r="M48" s="239" t="s">
        <v>1598</v>
      </c>
      <c r="N48" s="217"/>
      <c r="O48" s="216" t="s">
        <v>22</v>
      </c>
      <c r="P48" s="215" t="s">
        <v>2971</v>
      </c>
      <c r="Q48" s="215" t="s">
        <v>2973</v>
      </c>
      <c r="T48" s="166" t="s">
        <v>376</v>
      </c>
      <c r="U48" s="166"/>
      <c r="V48" s="166" t="s">
        <v>717</v>
      </c>
      <c r="W48" s="167" t="s">
        <v>649</v>
      </c>
      <c r="X48" s="167" t="s">
        <v>650</v>
      </c>
      <c r="Y48" s="167">
        <v>0</v>
      </c>
      <c r="Z48" s="168" t="s">
        <v>22</v>
      </c>
      <c r="AA48" s="166" t="s">
        <v>719</v>
      </c>
      <c r="AB48" s="169" t="s">
        <v>601</v>
      </c>
      <c r="AC48" s="166"/>
      <c r="AD48" s="166"/>
      <c r="AE48" s="167" t="s">
        <v>823</v>
      </c>
      <c r="AF48" s="166" t="s">
        <v>664</v>
      </c>
      <c r="AG48" s="166"/>
      <c r="AH48" s="166"/>
      <c r="AI48" s="166"/>
      <c r="AJ48" s="17"/>
      <c r="AK48" s="17"/>
      <c r="AL48" s="17"/>
      <c r="AM48" s="17"/>
      <c r="AN48" s="17"/>
      <c r="AO48" s="17"/>
    </row>
    <row r="49" spans="2:41" s="2" customFormat="1" ht="26">
      <c r="B49" s="2">
        <v>26</v>
      </c>
      <c r="C49" s="2">
        <v>1</v>
      </c>
      <c r="D49" s="37"/>
      <c r="F49" s="2" t="s">
        <v>29</v>
      </c>
      <c r="I49" s="18" t="s">
        <v>376</v>
      </c>
      <c r="K49" s="2" t="s">
        <v>2975</v>
      </c>
      <c r="L49" s="209" t="s">
        <v>2784</v>
      </c>
      <c r="M49" s="239" t="s">
        <v>1598</v>
      </c>
      <c r="N49" s="217"/>
      <c r="O49" s="216" t="s">
        <v>22</v>
      </c>
      <c r="P49" s="215" t="s">
        <v>2971</v>
      </c>
      <c r="Q49" s="215" t="s">
        <v>2973</v>
      </c>
      <c r="T49" s="166"/>
      <c r="U49" s="166"/>
      <c r="V49" s="166"/>
      <c r="W49" s="166"/>
      <c r="X49" s="166"/>
      <c r="Y49" s="166"/>
      <c r="Z49" s="166"/>
      <c r="AA49" s="166"/>
      <c r="AB49" s="166"/>
      <c r="AC49" s="166"/>
      <c r="AD49" s="166"/>
      <c r="AE49" s="166"/>
      <c r="AF49" s="166"/>
      <c r="AG49" s="166"/>
      <c r="AH49" s="166"/>
      <c r="AI49" s="166"/>
      <c r="AJ49" s="17"/>
      <c r="AK49" s="17"/>
      <c r="AL49" s="17"/>
      <c r="AM49" s="17"/>
      <c r="AN49" s="17"/>
      <c r="AO49" s="17"/>
    </row>
    <row r="50" spans="2:41" s="2" customFormat="1" ht="29">
      <c r="B50" s="2">
        <v>27</v>
      </c>
      <c r="C50" s="2">
        <v>1</v>
      </c>
      <c r="D50" s="37"/>
      <c r="E50" s="2" t="s">
        <v>30</v>
      </c>
      <c r="G50" s="2" t="s">
        <v>31</v>
      </c>
      <c r="K50" s="213"/>
      <c r="L50" s="213"/>
      <c r="M50" s="213"/>
      <c r="T50" s="166"/>
      <c r="U50" s="166"/>
      <c r="V50" s="166"/>
      <c r="W50" s="166"/>
      <c r="X50" s="166"/>
      <c r="Y50" s="166"/>
      <c r="Z50" s="166"/>
      <c r="AA50" s="166"/>
      <c r="AB50" s="166"/>
      <c r="AC50" s="166"/>
      <c r="AD50" s="166"/>
      <c r="AE50" s="166"/>
      <c r="AF50" s="166"/>
      <c r="AG50" s="166"/>
      <c r="AH50" s="166"/>
      <c r="AI50" s="166"/>
      <c r="AJ50" s="17"/>
      <c r="AK50" s="17"/>
      <c r="AL50" s="17"/>
      <c r="AM50" s="17"/>
      <c r="AN50" s="17"/>
      <c r="AO50" s="17"/>
    </row>
    <row r="51" spans="2:41" s="2" customFormat="1" ht="95.5" customHeight="1">
      <c r="B51" s="2">
        <v>28</v>
      </c>
      <c r="D51" s="37"/>
      <c r="E51" s="2" t="s">
        <v>718</v>
      </c>
      <c r="F51" s="2" t="s">
        <v>660</v>
      </c>
      <c r="I51" s="2" t="s">
        <v>376</v>
      </c>
      <c r="K51" s="213" t="s">
        <v>3033</v>
      </c>
      <c r="L51" s="209" t="s">
        <v>2321</v>
      </c>
      <c r="M51" s="218" t="s">
        <v>2322</v>
      </c>
      <c r="N51" s="213" t="s">
        <v>2323</v>
      </c>
      <c r="O51" s="216" t="s">
        <v>22</v>
      </c>
      <c r="P51" s="215" t="s">
        <v>771</v>
      </c>
      <c r="Q51" s="219" t="s">
        <v>2561</v>
      </c>
      <c r="S51" s="17"/>
      <c r="T51" s="166" t="s">
        <v>376</v>
      </c>
      <c r="U51" s="166"/>
      <c r="V51" s="166" t="s">
        <v>661</v>
      </c>
      <c r="W51" s="167" t="s">
        <v>649</v>
      </c>
      <c r="X51" s="167" t="s">
        <v>650</v>
      </c>
      <c r="Y51" s="167">
        <v>0</v>
      </c>
      <c r="Z51" s="168" t="s">
        <v>22</v>
      </c>
      <c r="AA51" s="166" t="s">
        <v>662</v>
      </c>
      <c r="AB51" s="169" t="s">
        <v>663</v>
      </c>
      <c r="AC51" s="166"/>
      <c r="AD51" s="166"/>
      <c r="AE51" s="166"/>
      <c r="AF51" s="166"/>
      <c r="AG51" s="166"/>
      <c r="AH51" s="166"/>
      <c r="AI51" s="166"/>
      <c r="AJ51" s="17"/>
      <c r="AK51" s="17"/>
      <c r="AL51" s="17"/>
      <c r="AM51" s="17"/>
      <c r="AN51" s="17"/>
      <c r="AO51" s="17"/>
    </row>
    <row r="52" spans="2:41" s="2" customFormat="1" ht="72.5">
      <c r="B52" s="2">
        <v>29</v>
      </c>
      <c r="D52" s="37" t="s">
        <v>286</v>
      </c>
      <c r="E52" s="2" t="s">
        <v>2496</v>
      </c>
      <c r="I52" s="2" t="s">
        <v>376</v>
      </c>
      <c r="K52" s="213" t="s">
        <v>3034</v>
      </c>
      <c r="L52" s="209" t="s">
        <v>2321</v>
      </c>
      <c r="M52" s="218" t="s">
        <v>2322</v>
      </c>
      <c r="N52" s="213" t="s">
        <v>2323</v>
      </c>
      <c r="O52" s="216" t="s">
        <v>22</v>
      </c>
      <c r="P52" s="215" t="s">
        <v>2494</v>
      </c>
      <c r="Q52" s="219" t="s">
        <v>2495</v>
      </c>
      <c r="S52" s="17"/>
      <c r="T52" s="166" t="s">
        <v>376</v>
      </c>
      <c r="U52" s="166"/>
      <c r="V52" s="166" t="s">
        <v>2069</v>
      </c>
      <c r="W52" s="179" t="s">
        <v>2053</v>
      </c>
      <c r="X52" s="172" t="s">
        <v>1398</v>
      </c>
      <c r="Y52" s="178"/>
      <c r="Z52" s="168" t="s">
        <v>22</v>
      </c>
      <c r="AA52" s="166" t="s">
        <v>836</v>
      </c>
      <c r="AB52" s="169" t="s">
        <v>2067</v>
      </c>
      <c r="AC52" s="166"/>
      <c r="AD52" s="166"/>
      <c r="AE52" s="166"/>
      <c r="AF52" s="166"/>
      <c r="AG52" s="166"/>
      <c r="AH52" s="166"/>
      <c r="AI52" s="166"/>
      <c r="AJ52" s="17"/>
      <c r="AK52" s="17"/>
      <c r="AL52" s="17"/>
      <c r="AM52" s="17"/>
      <c r="AN52" s="17"/>
    </row>
    <row r="53" spans="2:41" s="2" customFormat="1" ht="26">
      <c r="B53" s="2">
        <v>30</v>
      </c>
      <c r="D53" s="37"/>
      <c r="E53" s="2" t="s">
        <v>32</v>
      </c>
      <c r="I53" s="2" t="s">
        <v>376</v>
      </c>
      <c r="K53" s="213" t="s">
        <v>2499</v>
      </c>
      <c r="L53" s="209" t="s">
        <v>2321</v>
      </c>
      <c r="M53" s="218" t="s">
        <v>2322</v>
      </c>
      <c r="N53" s="213" t="s">
        <v>2323</v>
      </c>
      <c r="O53" s="216" t="s">
        <v>22</v>
      </c>
      <c r="P53" s="215" t="s">
        <v>2494</v>
      </c>
      <c r="Q53" s="219" t="s">
        <v>2495</v>
      </c>
      <c r="T53" s="166"/>
      <c r="U53" s="166"/>
      <c r="V53" s="166"/>
      <c r="W53" s="179"/>
      <c r="X53" s="172"/>
      <c r="Y53" s="178"/>
      <c r="Z53" s="168"/>
      <c r="AA53" s="166"/>
      <c r="AB53" s="169"/>
      <c r="AC53" s="166"/>
      <c r="AD53" s="166"/>
      <c r="AE53" s="166"/>
      <c r="AF53" s="166"/>
      <c r="AG53" s="166"/>
      <c r="AH53" s="166"/>
      <c r="AI53" s="166"/>
      <c r="AJ53" s="17"/>
      <c r="AK53" s="17"/>
      <c r="AL53" s="17"/>
      <c r="AM53" s="17"/>
      <c r="AN53" s="17"/>
    </row>
    <row r="54" spans="2:41" s="2" customFormat="1" ht="101.5">
      <c r="B54" s="2">
        <v>31</v>
      </c>
      <c r="D54" s="37"/>
      <c r="E54" s="2" t="s">
        <v>33</v>
      </c>
      <c r="H54" s="2" t="s">
        <v>34</v>
      </c>
      <c r="I54" s="2" t="s">
        <v>376</v>
      </c>
      <c r="K54" s="213" t="s">
        <v>2501</v>
      </c>
      <c r="L54" s="209" t="s">
        <v>2321</v>
      </c>
      <c r="M54" s="218" t="s">
        <v>2322</v>
      </c>
      <c r="N54" s="213" t="s">
        <v>2323</v>
      </c>
      <c r="O54" s="216" t="s">
        <v>22</v>
      </c>
      <c r="P54" s="215" t="s">
        <v>2497</v>
      </c>
      <c r="Q54" s="219" t="s">
        <v>2498</v>
      </c>
      <c r="T54" s="166" t="s">
        <v>376</v>
      </c>
      <c r="U54" s="166"/>
      <c r="V54" s="166" t="s">
        <v>2068</v>
      </c>
      <c r="W54" s="179" t="s">
        <v>2053</v>
      </c>
      <c r="X54" s="172" t="s">
        <v>1398</v>
      </c>
      <c r="Y54" s="178"/>
      <c r="Z54" s="168" t="s">
        <v>22</v>
      </c>
      <c r="AA54" s="166" t="s">
        <v>836</v>
      </c>
      <c r="AB54" s="169" t="s">
        <v>2067</v>
      </c>
      <c r="AC54" s="166" t="s">
        <v>2072</v>
      </c>
      <c r="AD54" s="166"/>
      <c r="AE54" s="166"/>
      <c r="AF54" s="166"/>
      <c r="AG54" s="166"/>
      <c r="AH54" s="166"/>
      <c r="AI54" s="166"/>
      <c r="AJ54" s="17"/>
      <c r="AK54" s="17"/>
      <c r="AL54" s="17"/>
      <c r="AM54" s="17"/>
    </row>
    <row r="55" spans="2:41" s="2" customFormat="1" ht="43.5">
      <c r="B55" s="2">
        <v>32</v>
      </c>
      <c r="D55" s="37"/>
      <c r="E55" s="2" t="s">
        <v>2071</v>
      </c>
      <c r="I55" s="2" t="s">
        <v>376</v>
      </c>
      <c r="K55" s="213" t="s">
        <v>2502</v>
      </c>
      <c r="L55" s="209" t="s">
        <v>2321</v>
      </c>
      <c r="M55" s="218" t="s">
        <v>2322</v>
      </c>
      <c r="N55" s="213" t="s">
        <v>2323</v>
      </c>
      <c r="O55" s="216" t="s">
        <v>22</v>
      </c>
      <c r="P55" s="215" t="s">
        <v>2497</v>
      </c>
      <c r="Q55" s="219" t="s">
        <v>2498</v>
      </c>
      <c r="T55" s="166" t="s">
        <v>376</v>
      </c>
      <c r="U55" s="166"/>
      <c r="V55" s="166" t="s">
        <v>2070</v>
      </c>
      <c r="W55" s="179" t="s">
        <v>2053</v>
      </c>
      <c r="X55" s="172" t="s">
        <v>1398</v>
      </c>
      <c r="Y55" s="178"/>
      <c r="Z55" s="168" t="s">
        <v>22</v>
      </c>
      <c r="AA55" s="166" t="s">
        <v>836</v>
      </c>
      <c r="AB55" s="169" t="s">
        <v>2067</v>
      </c>
      <c r="AC55" s="166"/>
      <c r="AD55" s="166"/>
      <c r="AE55" s="166"/>
      <c r="AF55" s="166"/>
      <c r="AG55" s="166"/>
      <c r="AH55" s="166"/>
      <c r="AI55" s="166"/>
      <c r="AJ55" s="17"/>
      <c r="AK55" s="17"/>
      <c r="AL55" s="17"/>
      <c r="AM55" s="17"/>
    </row>
    <row r="56" spans="2:41" s="2" customFormat="1" ht="29">
      <c r="B56" s="2">
        <v>33</v>
      </c>
      <c r="D56" s="37"/>
      <c r="E56" s="2" t="s">
        <v>35</v>
      </c>
      <c r="H56" s="2" t="s">
        <v>36</v>
      </c>
      <c r="I56" s="2" t="s">
        <v>376</v>
      </c>
      <c r="K56" s="213" t="s">
        <v>2500</v>
      </c>
      <c r="L56" s="209" t="s">
        <v>2321</v>
      </c>
      <c r="M56" s="218" t="s">
        <v>2322</v>
      </c>
      <c r="N56" s="213" t="s">
        <v>2323</v>
      </c>
      <c r="O56" s="216" t="s">
        <v>22</v>
      </c>
      <c r="P56" s="215" t="s">
        <v>2497</v>
      </c>
      <c r="Q56" s="219" t="s">
        <v>2498</v>
      </c>
      <c r="T56" s="166"/>
      <c r="U56" s="166"/>
      <c r="V56" s="166"/>
      <c r="W56" s="166"/>
      <c r="X56" s="166"/>
      <c r="Y56" s="166"/>
      <c r="Z56" s="170"/>
      <c r="AA56" s="166"/>
      <c r="AB56" s="166"/>
      <c r="AC56" s="166"/>
      <c r="AD56" s="166"/>
      <c r="AE56" s="166"/>
      <c r="AF56" s="166"/>
      <c r="AG56" s="166"/>
      <c r="AH56" s="166"/>
      <c r="AI56" s="166"/>
      <c r="AJ56" s="17"/>
      <c r="AK56" s="17"/>
      <c r="AL56" s="17"/>
      <c r="AM56" s="17"/>
    </row>
    <row r="57" spans="2:41" s="2" customFormat="1" ht="145">
      <c r="B57" s="2">
        <v>34</v>
      </c>
      <c r="D57" s="37"/>
      <c r="E57" s="2" t="s">
        <v>37</v>
      </c>
      <c r="H57" s="2" t="s">
        <v>38</v>
      </c>
      <c r="I57" s="2" t="s">
        <v>376</v>
      </c>
      <c r="K57" s="213" t="s">
        <v>3035</v>
      </c>
      <c r="L57" s="209" t="s">
        <v>2321</v>
      </c>
      <c r="M57" s="218" t="s">
        <v>2322</v>
      </c>
      <c r="N57" s="213" t="s">
        <v>2323</v>
      </c>
      <c r="O57" s="216" t="s">
        <v>22</v>
      </c>
      <c r="P57" s="215" t="s">
        <v>1371</v>
      </c>
      <c r="Q57" s="219" t="s">
        <v>2503</v>
      </c>
      <c r="S57" s="17"/>
      <c r="T57" s="166" t="s">
        <v>376</v>
      </c>
      <c r="U57" s="166"/>
      <c r="V57" s="166" t="s">
        <v>673</v>
      </c>
      <c r="W57" s="167" t="s">
        <v>649</v>
      </c>
      <c r="X57" s="167" t="s">
        <v>650</v>
      </c>
      <c r="Y57" s="167">
        <v>0</v>
      </c>
      <c r="Z57" s="168" t="s">
        <v>22</v>
      </c>
      <c r="AA57" s="166" t="s">
        <v>662</v>
      </c>
      <c r="AB57" s="169" t="s">
        <v>674</v>
      </c>
      <c r="AC57" s="166" t="s">
        <v>2074</v>
      </c>
      <c r="AD57" s="166" t="s">
        <v>2073</v>
      </c>
      <c r="AE57" s="167" t="s">
        <v>823</v>
      </c>
      <c r="AF57" s="166" t="s">
        <v>664</v>
      </c>
      <c r="AG57" s="167">
        <v>0</v>
      </c>
      <c r="AH57" s="167" t="s">
        <v>22</v>
      </c>
      <c r="AI57" s="175" t="s">
        <v>913</v>
      </c>
      <c r="AJ57" s="1" t="s">
        <v>914</v>
      </c>
      <c r="AK57" s="1"/>
      <c r="AL57" s="1"/>
      <c r="AM57" s="1"/>
    </row>
    <row r="58" spans="2:41" s="2" customFormat="1" ht="43.5">
      <c r="B58" s="2">
        <v>35</v>
      </c>
      <c r="D58" s="37"/>
      <c r="I58" s="2" t="s">
        <v>376</v>
      </c>
      <c r="K58" s="213" t="s">
        <v>2673</v>
      </c>
      <c r="L58" s="209" t="s">
        <v>2318</v>
      </c>
      <c r="M58" s="217" t="s">
        <v>2324</v>
      </c>
      <c r="N58" s="217" t="s">
        <v>2325</v>
      </c>
      <c r="O58" s="216" t="s">
        <v>22</v>
      </c>
      <c r="P58" s="215" t="s">
        <v>2148</v>
      </c>
      <c r="Q58" s="215" t="s">
        <v>2675</v>
      </c>
      <c r="T58" s="166"/>
      <c r="U58" s="166"/>
      <c r="V58" s="166"/>
      <c r="W58" s="200"/>
      <c r="X58" s="172"/>
      <c r="Y58" s="200"/>
      <c r="Z58" s="168"/>
      <c r="AA58" s="166"/>
      <c r="AB58" s="169"/>
      <c r="AC58" s="166"/>
      <c r="AD58" s="166"/>
      <c r="AE58" s="167"/>
      <c r="AF58" s="166"/>
      <c r="AG58" s="167"/>
      <c r="AH58" s="167"/>
      <c r="AI58" s="175"/>
      <c r="AJ58" s="1"/>
      <c r="AK58" s="1"/>
      <c r="AL58" s="1"/>
      <c r="AM58" s="1"/>
    </row>
    <row r="59" spans="2:41" s="2" customFormat="1" ht="145">
      <c r="B59" s="2">
        <v>36</v>
      </c>
      <c r="D59" s="37"/>
      <c r="E59" s="2" t="s">
        <v>2075</v>
      </c>
      <c r="I59" s="2" t="s">
        <v>376</v>
      </c>
      <c r="K59" s="213" t="s">
        <v>3105</v>
      </c>
      <c r="L59" s="209" t="s">
        <v>2321</v>
      </c>
      <c r="M59" s="218" t="s">
        <v>2322</v>
      </c>
      <c r="N59" s="213" t="s">
        <v>2323</v>
      </c>
      <c r="O59" s="216" t="s">
        <v>22</v>
      </c>
      <c r="P59" s="215" t="s">
        <v>1376</v>
      </c>
      <c r="Q59" s="219" t="s">
        <v>2503</v>
      </c>
      <c r="T59" s="166" t="s">
        <v>376</v>
      </c>
      <c r="U59" s="166"/>
      <c r="V59" s="166" t="s">
        <v>2076</v>
      </c>
      <c r="W59" s="179" t="s">
        <v>2053</v>
      </c>
      <c r="X59" s="172" t="s">
        <v>1398</v>
      </c>
      <c r="Y59" s="178"/>
      <c r="Z59" s="168" t="s">
        <v>22</v>
      </c>
      <c r="AA59" s="166" t="s">
        <v>836</v>
      </c>
      <c r="AB59" s="169" t="s">
        <v>2067</v>
      </c>
      <c r="AC59" s="166"/>
      <c r="AD59" s="166"/>
      <c r="AE59" s="167"/>
      <c r="AF59" s="166"/>
      <c r="AG59" s="167"/>
      <c r="AH59" s="167"/>
      <c r="AI59" s="175"/>
      <c r="AJ59" s="1"/>
      <c r="AK59" s="1"/>
      <c r="AL59" s="1"/>
      <c r="AM59" s="1"/>
    </row>
    <row r="60" spans="2:41" s="2" customFormat="1" ht="26">
      <c r="B60" s="2">
        <v>37</v>
      </c>
      <c r="D60" s="37"/>
      <c r="I60" s="2" t="s">
        <v>376</v>
      </c>
      <c r="K60" s="213" t="s">
        <v>3106</v>
      </c>
      <c r="L60" s="209" t="s">
        <v>2318</v>
      </c>
      <c r="M60" s="217" t="s">
        <v>2324</v>
      </c>
      <c r="N60" s="217" t="s">
        <v>2325</v>
      </c>
      <c r="O60" s="216" t="s">
        <v>22</v>
      </c>
      <c r="P60" s="215" t="s">
        <v>2148</v>
      </c>
      <c r="Q60" s="215" t="s">
        <v>2675</v>
      </c>
      <c r="T60" s="166"/>
      <c r="U60" s="166"/>
      <c r="V60" s="166"/>
      <c r="W60" s="232"/>
      <c r="X60" s="172"/>
      <c r="Y60" s="233"/>
      <c r="Z60" s="168"/>
      <c r="AA60" s="166"/>
      <c r="AB60" s="169"/>
      <c r="AC60" s="166"/>
      <c r="AD60" s="166"/>
      <c r="AE60" s="167"/>
      <c r="AF60" s="166"/>
      <c r="AG60" s="167"/>
      <c r="AH60" s="167"/>
      <c r="AI60" s="175"/>
      <c r="AJ60" s="1"/>
      <c r="AK60" s="1"/>
      <c r="AL60" s="1"/>
      <c r="AM60" s="1"/>
    </row>
    <row r="61" spans="2:41" s="2" customFormat="1" ht="26">
      <c r="B61" s="2">
        <v>38</v>
      </c>
      <c r="D61" s="37"/>
      <c r="E61" s="2" t="s">
        <v>39</v>
      </c>
      <c r="H61" s="2" t="s">
        <v>40</v>
      </c>
      <c r="I61" s="2" t="s">
        <v>376</v>
      </c>
      <c r="K61" s="247" t="s">
        <v>2674</v>
      </c>
      <c r="L61" s="209" t="s">
        <v>2318</v>
      </c>
      <c r="M61" s="217" t="s">
        <v>2324</v>
      </c>
      <c r="N61" s="217" t="s">
        <v>2325</v>
      </c>
      <c r="O61" s="216" t="s">
        <v>22</v>
      </c>
      <c r="P61" s="215" t="s">
        <v>2148</v>
      </c>
      <c r="Q61" s="215" t="s">
        <v>2675</v>
      </c>
      <c r="S61" s="2" t="s">
        <v>3107</v>
      </c>
      <c r="T61" s="166"/>
      <c r="U61" s="166"/>
      <c r="V61" s="166"/>
      <c r="W61" s="166"/>
      <c r="X61" s="166"/>
      <c r="Y61" s="166"/>
      <c r="Z61" s="170"/>
      <c r="AA61" s="166"/>
      <c r="AB61" s="166"/>
      <c r="AC61" s="166"/>
      <c r="AD61" s="166"/>
      <c r="AE61" s="166"/>
      <c r="AF61" s="166"/>
      <c r="AG61" s="166"/>
      <c r="AH61" s="166"/>
      <c r="AI61" s="166"/>
      <c r="AJ61" s="17"/>
      <c r="AK61" s="17"/>
      <c r="AL61" s="17"/>
      <c r="AM61" s="17"/>
    </row>
    <row r="62" spans="2:41" s="2" customFormat="1" ht="47.15" customHeight="1">
      <c r="B62" s="2">
        <v>39</v>
      </c>
      <c r="D62" s="37"/>
      <c r="E62" s="2" t="s">
        <v>41</v>
      </c>
      <c r="H62" s="2" t="s">
        <v>40</v>
      </c>
      <c r="I62" s="2" t="s">
        <v>376</v>
      </c>
      <c r="K62" s="213" t="s">
        <v>2505</v>
      </c>
      <c r="L62" s="209" t="s">
        <v>2321</v>
      </c>
      <c r="M62" s="218" t="s">
        <v>2322</v>
      </c>
      <c r="N62" s="213" t="s">
        <v>2323</v>
      </c>
      <c r="O62" s="216" t="s">
        <v>22</v>
      </c>
      <c r="P62" s="215" t="s">
        <v>1379</v>
      </c>
      <c r="Q62" s="219" t="s">
        <v>2504</v>
      </c>
      <c r="S62" s="2" t="s">
        <v>3108</v>
      </c>
      <c r="T62" s="166"/>
      <c r="U62" s="166"/>
      <c r="V62" s="166"/>
      <c r="W62" s="166"/>
      <c r="X62" s="166"/>
      <c r="Y62" s="166"/>
      <c r="Z62" s="181"/>
      <c r="AA62" s="166"/>
      <c r="AB62" s="166"/>
      <c r="AC62" s="166"/>
      <c r="AD62" s="166"/>
      <c r="AE62" s="166"/>
      <c r="AF62" s="166"/>
      <c r="AG62" s="166"/>
      <c r="AH62" s="166"/>
      <c r="AI62" s="166"/>
      <c r="AJ62" s="17"/>
      <c r="AK62" s="17"/>
      <c r="AL62" s="17"/>
      <c r="AM62" s="17"/>
    </row>
    <row r="63" spans="2:41" s="2" customFormat="1">
      <c r="B63" s="2">
        <v>40</v>
      </c>
      <c r="D63" s="37"/>
      <c r="E63" s="2" t="s">
        <v>42</v>
      </c>
      <c r="H63" s="2" t="s">
        <v>43</v>
      </c>
      <c r="K63" s="213"/>
      <c r="L63" s="213"/>
      <c r="M63" s="213"/>
      <c r="T63" s="166"/>
      <c r="U63" s="166"/>
      <c r="V63" s="166"/>
      <c r="W63" s="166"/>
      <c r="X63" s="166"/>
      <c r="Y63" s="166"/>
      <c r="Z63" s="181"/>
      <c r="AA63" s="166"/>
      <c r="AB63" s="166"/>
      <c r="AC63" s="166"/>
      <c r="AD63" s="166"/>
      <c r="AE63" s="166"/>
      <c r="AF63" s="166"/>
      <c r="AG63" s="166"/>
      <c r="AH63" s="166"/>
      <c r="AI63" s="166"/>
      <c r="AJ63" s="17"/>
      <c r="AK63" s="17"/>
      <c r="AL63" s="17"/>
      <c r="AM63" s="17"/>
    </row>
    <row r="64" spans="2:41" s="2" customFormat="1" ht="116">
      <c r="B64" s="2">
        <v>41</v>
      </c>
      <c r="D64" s="37" t="s">
        <v>927</v>
      </c>
      <c r="I64" s="2" t="s">
        <v>376</v>
      </c>
      <c r="K64" s="213" t="s">
        <v>3036</v>
      </c>
      <c r="L64" s="209" t="s">
        <v>2321</v>
      </c>
      <c r="M64" s="218" t="s">
        <v>2322</v>
      </c>
      <c r="N64" s="213" t="s">
        <v>2323</v>
      </c>
      <c r="O64" s="216" t="s">
        <v>22</v>
      </c>
      <c r="P64" s="215" t="s">
        <v>2533</v>
      </c>
      <c r="Q64" s="219" t="s">
        <v>2534</v>
      </c>
      <c r="S64" s="17"/>
      <c r="T64" s="166" t="s">
        <v>376</v>
      </c>
      <c r="U64" s="166"/>
      <c r="V64" s="166" t="s">
        <v>1958</v>
      </c>
      <c r="W64" s="167" t="s">
        <v>823</v>
      </c>
      <c r="X64" s="167" t="s">
        <v>664</v>
      </c>
      <c r="Y64" s="167">
        <v>0</v>
      </c>
      <c r="Z64" s="168" t="s">
        <v>22</v>
      </c>
      <c r="AA64" s="167" t="s">
        <v>595</v>
      </c>
      <c r="AB64" s="167" t="s">
        <v>921</v>
      </c>
      <c r="AC64" s="166" t="s">
        <v>1085</v>
      </c>
      <c r="AD64" s="182" t="s">
        <v>1612</v>
      </c>
      <c r="AE64" s="166" t="s">
        <v>928</v>
      </c>
      <c r="AF64" s="166" t="s">
        <v>2178</v>
      </c>
      <c r="AG64" s="166"/>
      <c r="AH64" s="166"/>
      <c r="AI64" s="166"/>
      <c r="AJ64" s="17"/>
      <c r="AK64" s="17"/>
      <c r="AL64" s="17"/>
      <c r="AM64" s="17"/>
    </row>
    <row r="65" spans="2:39" s="2" customFormat="1" ht="26">
      <c r="B65" s="2">
        <v>42</v>
      </c>
      <c r="D65" s="37"/>
      <c r="K65" s="213"/>
      <c r="L65" s="209" t="s">
        <v>2319</v>
      </c>
      <c r="M65" s="214" t="s">
        <v>2320</v>
      </c>
      <c r="T65" s="166"/>
      <c r="U65" s="166"/>
      <c r="V65" s="166"/>
      <c r="W65" s="167"/>
      <c r="X65" s="167"/>
      <c r="Y65" s="167"/>
      <c r="Z65" s="168"/>
      <c r="AA65" s="167"/>
      <c r="AB65" s="167"/>
      <c r="AC65" s="166"/>
      <c r="AD65" s="182"/>
      <c r="AE65" s="166"/>
      <c r="AF65" s="166"/>
      <c r="AG65" s="166"/>
      <c r="AH65" s="166"/>
      <c r="AI65" s="166"/>
      <c r="AJ65" s="17"/>
      <c r="AK65" s="17"/>
      <c r="AL65" s="17"/>
      <c r="AM65" s="17"/>
    </row>
    <row r="66" spans="2:39" s="2" customFormat="1" ht="29">
      <c r="D66" s="37"/>
      <c r="I66" s="2" t="s">
        <v>376</v>
      </c>
      <c r="K66" s="213" t="s">
        <v>2747</v>
      </c>
      <c r="L66" s="2" t="s">
        <v>2740</v>
      </c>
      <c r="M66" s="2" t="s">
        <v>2739</v>
      </c>
      <c r="N66" s="2" t="s">
        <v>2323</v>
      </c>
      <c r="O66" s="236" t="s">
        <v>22</v>
      </c>
      <c r="P66" s="215" t="s">
        <v>2748</v>
      </c>
      <c r="Q66" s="215" t="s">
        <v>2749</v>
      </c>
      <c r="T66" s="166"/>
      <c r="U66" s="166"/>
      <c r="V66" s="166"/>
      <c r="W66" s="167"/>
      <c r="X66" s="167"/>
      <c r="Y66" s="167"/>
      <c r="Z66" s="168"/>
      <c r="AA66" s="167"/>
      <c r="AB66" s="167"/>
      <c r="AC66" s="166"/>
      <c r="AD66" s="182"/>
      <c r="AE66" s="166"/>
      <c r="AF66" s="166"/>
      <c r="AG66" s="166"/>
      <c r="AH66" s="166"/>
      <c r="AI66" s="166"/>
      <c r="AJ66" s="17"/>
      <c r="AK66" s="17"/>
      <c r="AL66" s="17"/>
      <c r="AM66" s="17"/>
    </row>
    <row r="67" spans="2:39" s="2" customFormat="1">
      <c r="B67" s="2">
        <v>43</v>
      </c>
      <c r="D67" s="37" t="s">
        <v>47</v>
      </c>
      <c r="E67" s="2" t="s">
        <v>414</v>
      </c>
      <c r="K67" s="213"/>
      <c r="L67" s="213"/>
      <c r="M67" s="213"/>
      <c r="T67" s="166"/>
      <c r="U67" s="166"/>
      <c r="V67" s="166"/>
      <c r="W67" s="175"/>
      <c r="X67" s="183"/>
      <c r="Y67" s="182"/>
      <c r="Z67" s="184"/>
      <c r="AA67" s="166"/>
      <c r="AB67" s="166"/>
      <c r="AC67" s="166"/>
      <c r="AD67" s="166"/>
      <c r="AE67" s="166"/>
      <c r="AF67" s="166"/>
      <c r="AG67" s="166"/>
      <c r="AH67" s="166"/>
      <c r="AI67" s="166"/>
      <c r="AJ67" s="17"/>
      <c r="AK67" s="17"/>
      <c r="AL67" s="17"/>
      <c r="AM67" s="17"/>
    </row>
    <row r="68" spans="2:39" s="2" customFormat="1" ht="108" customHeight="1">
      <c r="B68" s="2">
        <v>44</v>
      </c>
      <c r="D68" s="37"/>
      <c r="E68" s="2" t="s">
        <v>48</v>
      </c>
      <c r="F68" s="2" t="s">
        <v>357</v>
      </c>
      <c r="I68" s="2" t="s">
        <v>376</v>
      </c>
      <c r="K68" s="213" t="s">
        <v>2535</v>
      </c>
      <c r="L68" s="209" t="s">
        <v>2321</v>
      </c>
      <c r="M68" s="218" t="s">
        <v>2322</v>
      </c>
      <c r="N68" s="213" t="s">
        <v>2323</v>
      </c>
      <c r="O68" s="216" t="s">
        <v>22</v>
      </c>
      <c r="P68" s="215" t="s">
        <v>942</v>
      </c>
      <c r="Q68" s="219" t="s">
        <v>2536</v>
      </c>
      <c r="S68" s="17" t="s">
        <v>3037</v>
      </c>
      <c r="T68" s="166" t="s">
        <v>376</v>
      </c>
      <c r="U68" s="166"/>
      <c r="V68" s="166" t="s">
        <v>665</v>
      </c>
      <c r="W68" s="167" t="s">
        <v>649</v>
      </c>
      <c r="X68" s="167" t="s">
        <v>650</v>
      </c>
      <c r="Y68" s="167">
        <v>0</v>
      </c>
      <c r="Z68" s="168" t="s">
        <v>22</v>
      </c>
      <c r="AA68" s="166" t="s">
        <v>662</v>
      </c>
      <c r="AB68" s="169" t="s">
        <v>663</v>
      </c>
      <c r="AC68" s="166" t="s">
        <v>1779</v>
      </c>
      <c r="AD68" s="166" t="s">
        <v>827</v>
      </c>
      <c r="AE68" s="167" t="s">
        <v>823</v>
      </c>
      <c r="AF68" s="166" t="s">
        <v>664</v>
      </c>
      <c r="AG68" s="167">
        <v>0</v>
      </c>
      <c r="AH68" s="167" t="s">
        <v>22</v>
      </c>
      <c r="AI68" s="167" t="s">
        <v>828</v>
      </c>
      <c r="AJ68" s="12" t="s">
        <v>825</v>
      </c>
      <c r="AK68" s="12"/>
      <c r="AL68" s="12"/>
      <c r="AM68" s="12"/>
    </row>
    <row r="69" spans="2:39" s="2" customFormat="1" ht="64" customHeight="1">
      <c r="B69" s="2">
        <v>45</v>
      </c>
      <c r="D69" s="37"/>
      <c r="E69" s="2" t="s">
        <v>1952</v>
      </c>
      <c r="K69" s="213"/>
      <c r="L69" s="213"/>
      <c r="M69" s="213"/>
      <c r="T69" s="166" t="s">
        <v>376</v>
      </c>
      <c r="U69" s="166"/>
      <c r="V69" s="166" t="s">
        <v>2266</v>
      </c>
      <c r="W69" s="185" t="s">
        <v>2194</v>
      </c>
      <c r="X69" s="172" t="s">
        <v>701</v>
      </c>
      <c r="Y69" s="186"/>
      <c r="Z69" s="187" t="s">
        <v>22</v>
      </c>
      <c r="AA69" s="166" t="s">
        <v>677</v>
      </c>
      <c r="AB69" s="169" t="s">
        <v>2265</v>
      </c>
      <c r="AC69" s="166"/>
      <c r="AD69" s="166"/>
      <c r="AE69" s="167"/>
      <c r="AF69" s="166"/>
      <c r="AG69" s="167"/>
      <c r="AH69" s="167"/>
      <c r="AI69" s="167"/>
      <c r="AJ69" s="12"/>
      <c r="AK69" s="12"/>
      <c r="AL69" s="12"/>
      <c r="AM69" s="12"/>
    </row>
    <row r="70" spans="2:39" s="2" customFormat="1" ht="43.5">
      <c r="B70" s="2">
        <v>46</v>
      </c>
      <c r="D70" s="37"/>
      <c r="E70" s="2" t="s">
        <v>307</v>
      </c>
      <c r="I70" s="2" t="s">
        <v>376</v>
      </c>
      <c r="K70" s="213" t="s">
        <v>2572</v>
      </c>
      <c r="L70" s="209" t="s">
        <v>2321</v>
      </c>
      <c r="M70" s="218" t="s">
        <v>2322</v>
      </c>
      <c r="N70" s="213" t="s">
        <v>2323</v>
      </c>
      <c r="O70" s="216" t="s">
        <v>22</v>
      </c>
      <c r="P70" s="215" t="s">
        <v>2573</v>
      </c>
      <c r="Q70" s="219" t="s">
        <v>2574</v>
      </c>
      <c r="S70" s="2" t="s">
        <v>3109</v>
      </c>
      <c r="T70" s="166" t="s">
        <v>376</v>
      </c>
      <c r="U70" s="166"/>
      <c r="V70" s="166" t="s">
        <v>1420</v>
      </c>
      <c r="W70" s="172" t="s">
        <v>1110</v>
      </c>
      <c r="X70" s="172" t="s">
        <v>1111</v>
      </c>
      <c r="Y70" s="172">
        <v>0</v>
      </c>
      <c r="Z70" s="168" t="s">
        <v>22</v>
      </c>
      <c r="AA70" s="166" t="s">
        <v>1419</v>
      </c>
      <c r="AB70" s="169" t="s">
        <v>1414</v>
      </c>
      <c r="AC70" s="166"/>
      <c r="AD70" s="166"/>
      <c r="AE70" s="166"/>
      <c r="AF70" s="166"/>
      <c r="AG70" s="166"/>
      <c r="AH70" s="166"/>
      <c r="AI70" s="166"/>
      <c r="AJ70" s="17"/>
      <c r="AK70" s="17"/>
      <c r="AL70" s="17"/>
      <c r="AM70" s="17"/>
    </row>
    <row r="71" spans="2:39" s="2" customFormat="1" ht="269">
      <c r="D71" s="37"/>
      <c r="E71" s="2" t="s">
        <v>1952</v>
      </c>
      <c r="I71" s="18" t="s">
        <v>376</v>
      </c>
      <c r="K71" s="213" t="s">
        <v>3038</v>
      </c>
      <c r="L71" s="209" t="s">
        <v>2784</v>
      </c>
      <c r="M71" s="239" t="s">
        <v>1598</v>
      </c>
      <c r="N71" s="217"/>
      <c r="O71" s="216" t="s">
        <v>22</v>
      </c>
      <c r="P71" s="215" t="s">
        <v>1091</v>
      </c>
      <c r="Q71" s="215" t="s">
        <v>2931</v>
      </c>
      <c r="S71" s="17"/>
      <c r="T71" s="166"/>
      <c r="U71" s="166"/>
      <c r="V71" s="166"/>
      <c r="W71" s="172"/>
      <c r="X71" s="172"/>
      <c r="Y71" s="172"/>
      <c r="Z71" s="168"/>
      <c r="AA71" s="166"/>
      <c r="AB71" s="169"/>
      <c r="AC71" s="166"/>
      <c r="AD71" s="166"/>
      <c r="AE71" s="166"/>
      <c r="AF71" s="166"/>
      <c r="AG71" s="166"/>
      <c r="AH71" s="166"/>
      <c r="AI71" s="166"/>
      <c r="AJ71" s="17"/>
      <c r="AK71" s="17"/>
      <c r="AL71" s="17"/>
      <c r="AM71" s="17"/>
    </row>
    <row r="72" spans="2:39" s="2" customFormat="1" ht="87">
      <c r="B72" s="2">
        <v>47</v>
      </c>
      <c r="D72" s="37"/>
      <c r="E72" s="2" t="s">
        <v>413</v>
      </c>
      <c r="L72" s="213"/>
      <c r="M72" s="213"/>
      <c r="T72" s="166" t="s">
        <v>376</v>
      </c>
      <c r="U72" s="166"/>
      <c r="V72" s="166" t="s">
        <v>925</v>
      </c>
      <c r="W72" s="167" t="s">
        <v>649</v>
      </c>
      <c r="X72" s="167" t="s">
        <v>650</v>
      </c>
      <c r="Y72" s="167">
        <v>0</v>
      </c>
      <c r="Z72" s="168" t="s">
        <v>22</v>
      </c>
      <c r="AA72" s="166" t="s">
        <v>662</v>
      </c>
      <c r="AB72" s="169" t="s">
        <v>663</v>
      </c>
      <c r="AC72" s="166"/>
      <c r="AD72" s="166"/>
      <c r="AE72" s="166"/>
      <c r="AF72" s="166"/>
      <c r="AG72" s="166"/>
      <c r="AH72" s="166"/>
      <c r="AI72" s="166"/>
      <c r="AJ72" s="17"/>
      <c r="AK72" s="17"/>
      <c r="AL72" s="17"/>
      <c r="AM72" s="17"/>
    </row>
    <row r="73" spans="2:39" s="2" customFormat="1" ht="101.5">
      <c r="B73" s="2">
        <v>48</v>
      </c>
      <c r="D73" s="37"/>
      <c r="E73" s="2" t="s">
        <v>49</v>
      </c>
      <c r="K73" s="213"/>
      <c r="L73" s="213"/>
      <c r="M73" s="213"/>
      <c r="T73" s="166" t="s">
        <v>376</v>
      </c>
      <c r="U73" s="166"/>
      <c r="V73" s="166" t="s">
        <v>1767</v>
      </c>
      <c r="W73" s="185" t="s">
        <v>1764</v>
      </c>
      <c r="X73" s="186" t="s">
        <v>688</v>
      </c>
      <c r="Y73" s="166"/>
      <c r="Z73" s="168" t="s">
        <v>22</v>
      </c>
      <c r="AA73" s="166" t="s">
        <v>1768</v>
      </c>
      <c r="AB73" s="167" t="s">
        <v>1769</v>
      </c>
      <c r="AC73" s="166" t="s">
        <v>2093</v>
      </c>
      <c r="AD73" s="166" t="s">
        <v>2172</v>
      </c>
      <c r="AE73" s="166" t="s">
        <v>723</v>
      </c>
      <c r="AF73" s="172" t="s">
        <v>724</v>
      </c>
      <c r="AG73" s="178"/>
      <c r="AH73" s="188" t="s">
        <v>22</v>
      </c>
      <c r="AI73" s="166" t="s">
        <v>432</v>
      </c>
      <c r="AJ73" s="23" t="s">
        <v>2173</v>
      </c>
      <c r="AK73" s="17"/>
      <c r="AL73" s="17"/>
      <c r="AM73" s="17"/>
    </row>
    <row r="74" spans="2:39" s="2" customFormat="1" ht="174">
      <c r="B74" s="2">
        <v>49</v>
      </c>
      <c r="D74" s="37"/>
      <c r="E74" s="2" t="s">
        <v>2506</v>
      </c>
      <c r="F74" s="2" t="s">
        <v>2783</v>
      </c>
      <c r="I74" s="2" t="s">
        <v>376</v>
      </c>
      <c r="K74" s="213" t="s">
        <v>3039</v>
      </c>
      <c r="L74" s="209" t="s">
        <v>2321</v>
      </c>
      <c r="M74" s="218" t="s">
        <v>2322</v>
      </c>
      <c r="N74" s="213" t="s">
        <v>2323</v>
      </c>
      <c r="O74" s="216" t="s">
        <v>22</v>
      </c>
      <c r="P74" s="215" t="s">
        <v>2303</v>
      </c>
      <c r="Q74" s="219" t="s">
        <v>2504</v>
      </c>
      <c r="S74" s="17"/>
      <c r="T74" s="166" t="s">
        <v>376</v>
      </c>
      <c r="U74" s="166"/>
      <c r="V74" s="166" t="s">
        <v>1770</v>
      </c>
      <c r="W74" s="185" t="s">
        <v>1764</v>
      </c>
      <c r="X74" s="186" t="s">
        <v>688</v>
      </c>
      <c r="Y74" s="166"/>
      <c r="Z74" s="168" t="s">
        <v>22</v>
      </c>
      <c r="AA74" s="166" t="s">
        <v>1771</v>
      </c>
      <c r="AB74" s="167" t="s">
        <v>1769</v>
      </c>
      <c r="AC74" s="166"/>
      <c r="AD74" s="166" t="s">
        <v>2174</v>
      </c>
      <c r="AE74" s="166" t="s">
        <v>723</v>
      </c>
      <c r="AF74" s="172" t="s">
        <v>724</v>
      </c>
      <c r="AG74" s="178"/>
      <c r="AH74" s="188" t="s">
        <v>22</v>
      </c>
      <c r="AI74" s="166" t="s">
        <v>1100</v>
      </c>
      <c r="AJ74" s="23" t="s">
        <v>2173</v>
      </c>
      <c r="AK74" s="17"/>
      <c r="AL74" s="17"/>
      <c r="AM74" s="17"/>
    </row>
    <row r="75" spans="2:39" s="2" customFormat="1" ht="182">
      <c r="B75" s="2">
        <v>50</v>
      </c>
      <c r="D75" s="37"/>
      <c r="E75" s="2" t="s">
        <v>50</v>
      </c>
      <c r="F75" s="2" t="s">
        <v>2511</v>
      </c>
      <c r="I75" s="2" t="s">
        <v>376</v>
      </c>
      <c r="K75" s="213" t="s">
        <v>3040</v>
      </c>
      <c r="L75" s="209" t="s">
        <v>2321</v>
      </c>
      <c r="M75" s="218" t="s">
        <v>2322</v>
      </c>
      <c r="N75" s="213" t="s">
        <v>2323</v>
      </c>
      <c r="O75" s="216" t="s">
        <v>22</v>
      </c>
      <c r="P75" s="215" t="s">
        <v>2188</v>
      </c>
      <c r="Q75" s="219" t="s">
        <v>2509</v>
      </c>
      <c r="S75" s="17"/>
      <c r="T75" s="166" t="s">
        <v>376</v>
      </c>
      <c r="U75" s="166"/>
      <c r="V75" s="166" t="s">
        <v>675</v>
      </c>
      <c r="W75" s="167" t="s">
        <v>649</v>
      </c>
      <c r="X75" s="167" t="s">
        <v>650</v>
      </c>
      <c r="Y75" s="167">
        <v>0</v>
      </c>
      <c r="Z75" s="168" t="s">
        <v>22</v>
      </c>
      <c r="AA75" s="166" t="s">
        <v>662</v>
      </c>
      <c r="AB75" s="169" t="s">
        <v>674</v>
      </c>
      <c r="AC75" s="166" t="s">
        <v>1773</v>
      </c>
      <c r="AD75" s="166" t="s">
        <v>912</v>
      </c>
      <c r="AE75" s="167" t="s">
        <v>823</v>
      </c>
      <c r="AF75" s="166" t="s">
        <v>664</v>
      </c>
      <c r="AG75" s="166"/>
      <c r="AH75" s="166"/>
      <c r="AI75" s="166"/>
      <c r="AJ75" s="28"/>
      <c r="AK75" s="28"/>
      <c r="AL75" s="28"/>
      <c r="AM75" s="28"/>
    </row>
    <row r="76" spans="2:39" s="2" customFormat="1" ht="26">
      <c r="B76" s="2">
        <v>51</v>
      </c>
      <c r="D76" s="37"/>
      <c r="E76" s="2" t="s">
        <v>2512</v>
      </c>
      <c r="I76" s="2" t="s">
        <v>376</v>
      </c>
      <c r="K76" s="213" t="s">
        <v>2513</v>
      </c>
      <c r="L76" s="209" t="s">
        <v>2321</v>
      </c>
      <c r="M76" s="218" t="s">
        <v>2322</v>
      </c>
      <c r="N76" s="213" t="s">
        <v>2323</v>
      </c>
      <c r="O76" s="216" t="s">
        <v>22</v>
      </c>
      <c r="P76" s="215" t="s">
        <v>2514</v>
      </c>
      <c r="Q76" s="219" t="s">
        <v>2515</v>
      </c>
      <c r="T76" s="166"/>
      <c r="U76" s="166"/>
      <c r="V76" s="166"/>
      <c r="W76" s="200"/>
      <c r="X76" s="200"/>
      <c r="Y76" s="167"/>
      <c r="Z76" s="168"/>
      <c r="AA76" s="166"/>
      <c r="AB76" s="169"/>
      <c r="AC76" s="166"/>
      <c r="AD76" s="166"/>
      <c r="AE76" s="167"/>
      <c r="AF76" s="166"/>
      <c r="AG76" s="166"/>
      <c r="AH76" s="166"/>
      <c r="AI76" s="166"/>
      <c r="AJ76" s="28"/>
      <c r="AK76" s="28"/>
      <c r="AL76" s="28"/>
      <c r="AM76" s="28"/>
    </row>
    <row r="77" spans="2:39" s="2" customFormat="1" ht="72.5">
      <c r="B77" s="2">
        <v>52</v>
      </c>
      <c r="D77" s="37"/>
      <c r="E77" s="2" t="s">
        <v>18</v>
      </c>
      <c r="F77" s="2" t="s">
        <v>1952</v>
      </c>
      <c r="I77" s="2" t="s">
        <v>376</v>
      </c>
      <c r="K77" s="213" t="s">
        <v>3041</v>
      </c>
      <c r="L77" s="2" t="s">
        <v>2740</v>
      </c>
      <c r="M77" s="2" t="s">
        <v>2739</v>
      </c>
      <c r="N77" s="2" t="s">
        <v>2323</v>
      </c>
      <c r="O77" s="236" t="s">
        <v>22</v>
      </c>
      <c r="P77" s="215" t="s">
        <v>2685</v>
      </c>
      <c r="Q77" s="215" t="s">
        <v>2750</v>
      </c>
      <c r="S77" s="17"/>
      <c r="T77" s="166" t="s">
        <v>376</v>
      </c>
      <c r="U77" s="166"/>
      <c r="V77" s="166" t="s">
        <v>1951</v>
      </c>
      <c r="W77" s="185" t="s">
        <v>1764</v>
      </c>
      <c r="X77" s="186" t="s">
        <v>688</v>
      </c>
      <c r="Y77" s="166"/>
      <c r="Z77" s="168" t="s">
        <v>22</v>
      </c>
      <c r="AA77" s="166" t="s">
        <v>759</v>
      </c>
      <c r="AB77" s="167" t="s">
        <v>1787</v>
      </c>
      <c r="AC77" s="166"/>
      <c r="AD77" s="166"/>
      <c r="AE77" s="166"/>
      <c r="AF77" s="166"/>
      <c r="AG77" s="166"/>
      <c r="AH77" s="166"/>
      <c r="AI77" s="166"/>
    </row>
    <row r="78" spans="2:39" s="2" customFormat="1">
      <c r="B78" s="2">
        <v>53</v>
      </c>
      <c r="D78" s="37" t="s">
        <v>51</v>
      </c>
      <c r="E78" s="2" t="s">
        <v>52</v>
      </c>
      <c r="F78" s="2" t="s">
        <v>53</v>
      </c>
      <c r="K78" s="213"/>
      <c r="L78" s="213"/>
      <c r="M78" s="213"/>
      <c r="T78" s="166"/>
      <c r="U78" s="166"/>
      <c r="V78" s="166"/>
      <c r="W78" s="166"/>
      <c r="X78" s="166"/>
      <c r="Y78" s="166"/>
      <c r="Z78" s="166"/>
      <c r="AA78" s="166"/>
      <c r="AB78" s="166"/>
      <c r="AC78" s="166"/>
      <c r="AD78" s="166"/>
      <c r="AE78" s="166"/>
      <c r="AF78" s="166"/>
      <c r="AG78" s="166"/>
      <c r="AH78" s="166"/>
      <c r="AI78" s="166"/>
      <c r="AJ78" s="17"/>
      <c r="AK78" s="17"/>
      <c r="AL78" s="17"/>
      <c r="AM78" s="17"/>
    </row>
    <row r="79" spans="2:39" s="2" customFormat="1">
      <c r="B79" s="2">
        <v>54</v>
      </c>
      <c r="D79" s="37"/>
      <c r="E79" s="2" t="s">
        <v>327</v>
      </c>
      <c r="K79" s="213"/>
      <c r="L79" s="213"/>
      <c r="M79" s="213"/>
      <c r="T79" s="166"/>
      <c r="U79" s="166"/>
      <c r="V79" s="166"/>
      <c r="W79" s="166"/>
      <c r="X79" s="166"/>
      <c r="Y79" s="166"/>
      <c r="Z79" s="166"/>
      <c r="AA79" s="166"/>
      <c r="AB79" s="166"/>
      <c r="AC79" s="166"/>
      <c r="AD79" s="166"/>
      <c r="AE79" s="166"/>
      <c r="AF79" s="166"/>
      <c r="AG79" s="166"/>
      <c r="AH79" s="166"/>
      <c r="AI79" s="166"/>
      <c r="AJ79" s="17"/>
      <c r="AK79" s="17"/>
      <c r="AL79" s="17"/>
      <c r="AM79" s="17"/>
    </row>
    <row r="80" spans="2:39" s="2" customFormat="1" ht="176">
      <c r="B80" s="2">
        <v>55</v>
      </c>
      <c r="D80" s="37" t="s">
        <v>54</v>
      </c>
      <c r="E80" s="2" t="s">
        <v>55</v>
      </c>
      <c r="F80" s="2" t="s">
        <v>56</v>
      </c>
      <c r="I80" s="18" t="s">
        <v>376</v>
      </c>
      <c r="K80" s="213" t="s">
        <v>3042</v>
      </c>
      <c r="L80" s="209" t="s">
        <v>2784</v>
      </c>
      <c r="M80" s="239" t="s">
        <v>1598</v>
      </c>
      <c r="N80" s="217"/>
      <c r="O80" s="216" t="s">
        <v>22</v>
      </c>
      <c r="P80" s="215" t="s">
        <v>2797</v>
      </c>
      <c r="Q80" s="215" t="s">
        <v>2798</v>
      </c>
      <c r="S80" s="17" t="s">
        <v>3043</v>
      </c>
      <c r="T80" s="166"/>
      <c r="U80" s="166"/>
      <c r="V80" s="166"/>
      <c r="W80" s="173"/>
      <c r="X80" s="174"/>
      <c r="Y80" s="174"/>
      <c r="Z80" s="170"/>
      <c r="AA80" s="166"/>
      <c r="AB80" s="171"/>
      <c r="AC80" s="166"/>
      <c r="AD80" s="166"/>
      <c r="AE80" s="166"/>
      <c r="AF80" s="166"/>
      <c r="AG80" s="166"/>
      <c r="AH80" s="166"/>
      <c r="AI80" s="166"/>
      <c r="AJ80" s="17"/>
      <c r="AK80" s="17"/>
      <c r="AL80" s="17"/>
      <c r="AM80" s="17"/>
    </row>
    <row r="81" spans="2:39" s="2" customFormat="1" ht="72.5">
      <c r="B81" s="2">
        <v>56</v>
      </c>
      <c r="D81" s="37"/>
      <c r="F81" s="2" t="s">
        <v>2832</v>
      </c>
      <c r="I81" s="18" t="s">
        <v>376</v>
      </c>
      <c r="K81" s="213" t="s">
        <v>3110</v>
      </c>
      <c r="L81" s="209" t="s">
        <v>2784</v>
      </c>
      <c r="M81" s="239" t="s">
        <v>1598</v>
      </c>
      <c r="N81" s="217"/>
      <c r="O81" s="216" t="s">
        <v>22</v>
      </c>
      <c r="P81" s="215" t="s">
        <v>2830</v>
      </c>
      <c r="Q81" s="215" t="s">
        <v>2831</v>
      </c>
      <c r="T81" s="166"/>
      <c r="U81" s="166"/>
      <c r="V81" s="166"/>
      <c r="W81" s="173"/>
      <c r="X81" s="174"/>
      <c r="Y81" s="174"/>
      <c r="Z81" s="181"/>
      <c r="AA81" s="166"/>
      <c r="AB81" s="171"/>
      <c r="AC81" s="166"/>
      <c r="AD81" s="166"/>
      <c r="AE81" s="166"/>
      <c r="AF81" s="166"/>
      <c r="AG81" s="166"/>
      <c r="AH81" s="166"/>
      <c r="AI81" s="166"/>
      <c r="AJ81" s="17"/>
      <c r="AK81" s="17"/>
      <c r="AL81" s="17"/>
      <c r="AM81" s="17"/>
    </row>
    <row r="82" spans="2:39" s="2" customFormat="1">
      <c r="D82" s="37"/>
      <c r="F82" s="2" t="s">
        <v>57</v>
      </c>
      <c r="K82" s="213"/>
      <c r="L82" s="209"/>
      <c r="M82" s="241"/>
      <c r="N82" s="240"/>
      <c r="O82" s="242"/>
      <c r="P82" s="215"/>
      <c r="Q82" s="215"/>
      <c r="T82" s="166"/>
      <c r="U82" s="166"/>
      <c r="V82" s="166"/>
      <c r="W82" s="173"/>
      <c r="X82" s="174"/>
      <c r="Y82" s="174"/>
      <c r="Z82" s="181"/>
      <c r="AA82" s="166"/>
      <c r="AB82" s="171"/>
      <c r="AC82" s="166"/>
      <c r="AD82" s="166"/>
      <c r="AE82" s="166"/>
      <c r="AF82" s="166"/>
      <c r="AG82" s="166"/>
      <c r="AH82" s="166"/>
      <c r="AI82" s="166"/>
      <c r="AJ82" s="17"/>
      <c r="AK82" s="17"/>
      <c r="AL82" s="17"/>
      <c r="AM82" s="17"/>
    </row>
    <row r="83" spans="2:39" s="2" customFormat="1" ht="29">
      <c r="B83" s="2">
        <v>57</v>
      </c>
      <c r="D83" s="37"/>
      <c r="F83" s="2" t="s">
        <v>58</v>
      </c>
      <c r="K83" s="213"/>
      <c r="L83" s="213"/>
      <c r="M83" s="213"/>
      <c r="T83" s="166"/>
      <c r="U83" s="166"/>
      <c r="V83" s="166"/>
      <c r="W83" s="173"/>
      <c r="X83" s="174"/>
      <c r="Y83" s="174"/>
      <c r="Z83" s="181"/>
      <c r="AA83" s="166"/>
      <c r="AB83" s="171"/>
      <c r="AC83" s="166"/>
      <c r="AD83" s="166"/>
      <c r="AE83" s="166"/>
      <c r="AF83" s="166"/>
      <c r="AG83" s="166"/>
      <c r="AH83" s="166"/>
      <c r="AI83" s="166"/>
      <c r="AJ83" s="17"/>
      <c r="AK83" s="17"/>
      <c r="AL83" s="17"/>
      <c r="AM83" s="17"/>
    </row>
    <row r="84" spans="2:39" s="2" customFormat="1" ht="29">
      <c r="B84" s="2">
        <v>58</v>
      </c>
      <c r="D84" s="37"/>
      <c r="F84" s="2" t="s">
        <v>59</v>
      </c>
      <c r="K84" s="213"/>
      <c r="L84" s="213"/>
      <c r="M84" s="213"/>
      <c r="T84" s="166"/>
      <c r="U84" s="166"/>
      <c r="V84" s="166"/>
      <c r="W84" s="173"/>
      <c r="X84" s="174"/>
      <c r="Y84" s="174"/>
      <c r="Z84" s="181"/>
      <c r="AA84" s="166"/>
      <c r="AB84" s="171"/>
      <c r="AC84" s="166"/>
      <c r="AD84" s="166"/>
      <c r="AE84" s="166"/>
      <c r="AF84" s="166"/>
      <c r="AG84" s="166"/>
      <c r="AH84" s="166"/>
      <c r="AI84" s="166"/>
      <c r="AJ84" s="17"/>
      <c r="AK84" s="17"/>
      <c r="AL84" s="17"/>
      <c r="AM84" s="17"/>
    </row>
    <row r="85" spans="2:39" s="2" customFormat="1" ht="43.5">
      <c r="B85" s="2">
        <v>59</v>
      </c>
      <c r="D85" s="37"/>
      <c r="F85" s="2" t="s">
        <v>60</v>
      </c>
      <c r="K85" s="213"/>
      <c r="L85" s="213"/>
      <c r="M85" s="213"/>
      <c r="T85" s="166"/>
      <c r="U85" s="166"/>
      <c r="V85" s="166"/>
      <c r="W85" s="173"/>
      <c r="X85" s="174"/>
      <c r="Y85" s="174"/>
      <c r="Z85" s="181"/>
      <c r="AA85" s="166"/>
      <c r="AB85" s="171"/>
      <c r="AC85" s="166"/>
      <c r="AD85" s="166"/>
      <c r="AE85" s="166"/>
      <c r="AF85" s="166"/>
      <c r="AG85" s="166"/>
      <c r="AH85" s="166"/>
      <c r="AI85" s="166"/>
      <c r="AJ85" s="17"/>
      <c r="AK85" s="17"/>
      <c r="AL85" s="17"/>
      <c r="AM85" s="17"/>
    </row>
    <row r="86" spans="2:39" s="2" customFormat="1" ht="232">
      <c r="B86" s="2">
        <v>60</v>
      </c>
      <c r="D86" s="37"/>
      <c r="E86" s="2" t="s">
        <v>377</v>
      </c>
      <c r="F86" s="2" t="s">
        <v>61</v>
      </c>
      <c r="I86" s="2" t="s">
        <v>376</v>
      </c>
      <c r="K86" s="213" t="s">
        <v>2606</v>
      </c>
      <c r="L86" s="209" t="s">
        <v>2321</v>
      </c>
      <c r="M86" s="218" t="s">
        <v>2322</v>
      </c>
      <c r="N86" s="213" t="s">
        <v>2323</v>
      </c>
      <c r="O86" s="216" t="s">
        <v>22</v>
      </c>
      <c r="P86" s="215" t="s">
        <v>2604</v>
      </c>
      <c r="Q86" s="219" t="s">
        <v>2605</v>
      </c>
      <c r="S86" s="17"/>
      <c r="T86" s="166" t="s">
        <v>376</v>
      </c>
      <c r="U86" s="166"/>
      <c r="V86" s="166" t="s">
        <v>762</v>
      </c>
      <c r="W86" s="167" t="s">
        <v>649</v>
      </c>
      <c r="X86" s="167" t="s">
        <v>650</v>
      </c>
      <c r="Y86" s="167">
        <v>0</v>
      </c>
      <c r="Z86" s="168" t="s">
        <v>22</v>
      </c>
      <c r="AA86" s="166" t="s">
        <v>759</v>
      </c>
      <c r="AB86" s="169" t="s">
        <v>761</v>
      </c>
      <c r="AC86" s="166" t="s">
        <v>954</v>
      </c>
      <c r="AD86" s="166"/>
      <c r="AE86" s="166"/>
      <c r="AF86" s="166"/>
      <c r="AG86" s="166"/>
      <c r="AH86" s="166"/>
      <c r="AI86" s="166"/>
      <c r="AJ86" s="17"/>
      <c r="AK86" s="17"/>
      <c r="AL86" s="17"/>
      <c r="AM86" s="17"/>
    </row>
    <row r="87" spans="2:39" s="2" customFormat="1" ht="72.5">
      <c r="B87" s="2">
        <v>61</v>
      </c>
      <c r="D87" s="37"/>
      <c r="E87" s="2" t="s">
        <v>394</v>
      </c>
      <c r="F87" s="2" t="s">
        <v>62</v>
      </c>
      <c r="K87" s="213"/>
      <c r="L87" s="213"/>
      <c r="M87" s="213"/>
      <c r="T87" s="166"/>
      <c r="U87" s="166"/>
      <c r="V87" s="166"/>
      <c r="W87" s="166"/>
      <c r="X87" s="171"/>
      <c r="Y87" s="166"/>
      <c r="Z87" s="170"/>
      <c r="AA87" s="166"/>
      <c r="AB87" s="166"/>
      <c r="AC87" s="166"/>
      <c r="AD87" s="166"/>
      <c r="AE87" s="166"/>
      <c r="AF87" s="166"/>
      <c r="AG87" s="166"/>
      <c r="AH87" s="166"/>
      <c r="AI87" s="166"/>
      <c r="AJ87" s="17"/>
      <c r="AK87" s="17"/>
      <c r="AL87" s="17"/>
      <c r="AM87" s="17"/>
    </row>
    <row r="88" spans="2:39" s="2" customFormat="1" ht="116">
      <c r="D88" s="37"/>
      <c r="I88" s="18" t="s">
        <v>376</v>
      </c>
      <c r="K88" s="213" t="s">
        <v>3044</v>
      </c>
      <c r="L88" s="209" t="s">
        <v>2784</v>
      </c>
      <c r="M88" s="239" t="s">
        <v>1598</v>
      </c>
      <c r="N88" s="217"/>
      <c r="O88" s="216" t="s">
        <v>22</v>
      </c>
      <c r="P88" s="215" t="s">
        <v>2960</v>
      </c>
      <c r="Q88" s="215" t="s">
        <v>2907</v>
      </c>
      <c r="S88" s="17"/>
      <c r="T88" s="166"/>
      <c r="U88" s="166"/>
      <c r="V88" s="166"/>
      <c r="W88" s="166"/>
      <c r="X88" s="171"/>
      <c r="Y88" s="166"/>
      <c r="Z88" s="170"/>
      <c r="AA88" s="166"/>
      <c r="AB88" s="166"/>
      <c r="AC88" s="166"/>
      <c r="AD88" s="166"/>
      <c r="AE88" s="166"/>
      <c r="AF88" s="166"/>
      <c r="AG88" s="166"/>
      <c r="AH88" s="166"/>
      <c r="AI88" s="166"/>
      <c r="AJ88" s="17"/>
      <c r="AK88" s="17"/>
      <c r="AL88" s="17"/>
      <c r="AM88" s="17"/>
    </row>
    <row r="89" spans="2:39" s="2" customFormat="1" ht="149.5" customHeight="1">
      <c r="D89" s="37"/>
      <c r="E89" s="2" t="s">
        <v>2909</v>
      </c>
      <c r="I89" s="18" t="s">
        <v>376</v>
      </c>
      <c r="K89" s="213" t="s">
        <v>2908</v>
      </c>
      <c r="L89" s="209" t="s">
        <v>2784</v>
      </c>
      <c r="M89" s="239" t="s">
        <v>1598</v>
      </c>
      <c r="N89" s="217"/>
      <c r="O89" s="216" t="s">
        <v>22</v>
      </c>
      <c r="P89" s="215" t="s">
        <v>2906</v>
      </c>
      <c r="Q89" s="215" t="s">
        <v>2907</v>
      </c>
      <c r="T89" s="166"/>
      <c r="U89" s="166"/>
      <c r="V89" s="166"/>
      <c r="W89" s="166"/>
      <c r="X89" s="166"/>
      <c r="Y89" s="166"/>
      <c r="Z89" s="166"/>
      <c r="AA89" s="166"/>
      <c r="AB89" s="166"/>
      <c r="AC89" s="166"/>
      <c r="AD89" s="166"/>
      <c r="AE89" s="166"/>
      <c r="AF89" s="166"/>
      <c r="AG89" s="166"/>
      <c r="AH89" s="166"/>
      <c r="AI89" s="166"/>
      <c r="AJ89" s="17"/>
      <c r="AK89" s="17"/>
      <c r="AL89" s="17"/>
      <c r="AM89" s="17"/>
    </row>
    <row r="90" spans="2:39" s="2" customFormat="1" ht="101.5">
      <c r="B90" s="2">
        <v>62</v>
      </c>
      <c r="D90" s="37"/>
      <c r="E90" s="2" t="s">
        <v>951</v>
      </c>
      <c r="L90" s="213"/>
      <c r="M90" s="213"/>
      <c r="T90" s="166" t="s">
        <v>376</v>
      </c>
      <c r="U90" s="166"/>
      <c r="V90" s="166" t="s">
        <v>1628</v>
      </c>
      <c r="W90" s="167" t="s">
        <v>823</v>
      </c>
      <c r="X90" s="167" t="s">
        <v>664</v>
      </c>
      <c r="Y90" s="167">
        <v>0</v>
      </c>
      <c r="Z90" s="168" t="s">
        <v>22</v>
      </c>
      <c r="AA90" s="167" t="s">
        <v>952</v>
      </c>
      <c r="AB90" s="167" t="s">
        <v>953</v>
      </c>
      <c r="AC90" s="166"/>
      <c r="AD90" s="166"/>
      <c r="AE90" s="166"/>
      <c r="AF90" s="166"/>
      <c r="AG90" s="166"/>
      <c r="AH90" s="166"/>
      <c r="AI90" s="166"/>
      <c r="AJ90" s="17"/>
      <c r="AK90" s="17"/>
      <c r="AL90" s="17"/>
      <c r="AM90" s="17"/>
    </row>
    <row r="91" spans="2:39" s="2" customFormat="1" ht="43.5">
      <c r="B91" s="2">
        <v>63</v>
      </c>
      <c r="D91" s="37" t="s">
        <v>63</v>
      </c>
      <c r="E91" s="2" t="s">
        <v>64</v>
      </c>
      <c r="F91" s="2" t="s">
        <v>65</v>
      </c>
      <c r="G91" s="2" t="s">
        <v>66</v>
      </c>
      <c r="H91" s="2" t="s">
        <v>67</v>
      </c>
      <c r="K91" s="213"/>
      <c r="L91" s="213"/>
      <c r="M91" s="213"/>
      <c r="T91" s="166" t="s">
        <v>376</v>
      </c>
      <c r="U91" s="166"/>
      <c r="V91" s="166" t="s">
        <v>2061</v>
      </c>
      <c r="W91" s="179" t="s">
        <v>2053</v>
      </c>
      <c r="X91" s="172" t="s">
        <v>1398</v>
      </c>
      <c r="Y91" s="178"/>
      <c r="Z91" s="168" t="s">
        <v>22</v>
      </c>
      <c r="AA91" s="166" t="s">
        <v>2062</v>
      </c>
      <c r="AB91" s="169" t="s">
        <v>2059</v>
      </c>
      <c r="AC91" s="166"/>
      <c r="AD91" s="166"/>
      <c r="AE91" s="166"/>
      <c r="AF91" s="166"/>
      <c r="AG91" s="166"/>
      <c r="AH91" s="166"/>
      <c r="AI91" s="166"/>
      <c r="AJ91" s="17"/>
      <c r="AK91" s="17"/>
      <c r="AL91" s="17"/>
      <c r="AM91" s="17"/>
    </row>
    <row r="92" spans="2:39" s="2" customFormat="1">
      <c r="B92" s="2">
        <v>64</v>
      </c>
      <c r="D92" s="37"/>
      <c r="F92" s="2" t="s">
        <v>292</v>
      </c>
      <c r="G92" s="2" t="s">
        <v>68</v>
      </c>
      <c r="H92" s="2" t="s">
        <v>69</v>
      </c>
      <c r="K92" s="213"/>
      <c r="L92" s="213"/>
      <c r="M92" s="213"/>
      <c r="T92" s="166"/>
      <c r="U92" s="166"/>
      <c r="V92" s="166"/>
      <c r="W92" s="173"/>
      <c r="X92" s="174"/>
      <c r="Y92" s="174"/>
      <c r="Z92" s="181"/>
      <c r="AA92" s="166"/>
      <c r="AB92" s="171"/>
      <c r="AC92" s="166"/>
      <c r="AD92" s="166"/>
      <c r="AE92" s="166"/>
      <c r="AF92" s="166"/>
      <c r="AG92" s="166"/>
      <c r="AH92" s="166"/>
      <c r="AI92" s="166"/>
      <c r="AJ92" s="17"/>
      <c r="AK92" s="17"/>
      <c r="AL92" s="17"/>
      <c r="AM92" s="17"/>
    </row>
    <row r="93" spans="2:39" s="2" customFormat="1" ht="75" customHeight="1">
      <c r="B93" s="2">
        <v>65</v>
      </c>
      <c r="D93" s="37" t="s">
        <v>2807</v>
      </c>
      <c r="E93" s="2" t="s">
        <v>2803</v>
      </c>
      <c r="G93" s="2" t="s">
        <v>70</v>
      </c>
      <c r="H93" s="2" t="s">
        <v>71</v>
      </c>
      <c r="I93" s="18" t="s">
        <v>376</v>
      </c>
      <c r="K93" s="213" t="s">
        <v>2804</v>
      </c>
      <c r="L93" s="209" t="s">
        <v>2784</v>
      </c>
      <c r="M93" s="239" t="s">
        <v>1598</v>
      </c>
      <c r="N93" s="217"/>
      <c r="O93" s="216" t="s">
        <v>22</v>
      </c>
      <c r="P93" s="215" t="s">
        <v>2805</v>
      </c>
      <c r="Q93" s="215" t="s">
        <v>2806</v>
      </c>
      <c r="T93" s="166"/>
      <c r="U93" s="166"/>
      <c r="V93" s="166"/>
      <c r="W93" s="166"/>
      <c r="X93" s="166"/>
      <c r="Y93" s="166"/>
      <c r="Z93" s="166"/>
      <c r="AA93" s="166"/>
      <c r="AB93" s="166"/>
      <c r="AC93" s="166"/>
      <c r="AD93" s="166"/>
      <c r="AE93" s="166"/>
      <c r="AF93" s="166"/>
      <c r="AG93" s="166"/>
      <c r="AH93" s="166"/>
      <c r="AI93" s="166"/>
      <c r="AJ93" s="17"/>
      <c r="AK93" s="17"/>
      <c r="AL93" s="17"/>
      <c r="AM93" s="17"/>
    </row>
    <row r="94" spans="2:39" s="2" customFormat="1" ht="149.5" customHeight="1">
      <c r="D94" s="37"/>
      <c r="E94" s="2" t="s">
        <v>2808</v>
      </c>
      <c r="I94" s="18" t="s">
        <v>376</v>
      </c>
      <c r="K94" s="213" t="s">
        <v>2810</v>
      </c>
      <c r="L94" s="209" t="s">
        <v>2784</v>
      </c>
      <c r="M94" s="239" t="s">
        <v>1598</v>
      </c>
      <c r="N94" s="217"/>
      <c r="O94" s="216" t="s">
        <v>22</v>
      </c>
      <c r="P94" s="215" t="s">
        <v>1780</v>
      </c>
      <c r="Q94" s="215" t="s">
        <v>2809</v>
      </c>
      <c r="T94" s="166"/>
      <c r="U94" s="166"/>
      <c r="V94" s="166"/>
      <c r="W94" s="166"/>
      <c r="X94" s="166"/>
      <c r="Y94" s="166"/>
      <c r="Z94" s="166"/>
      <c r="AA94" s="166"/>
      <c r="AB94" s="166"/>
      <c r="AC94" s="166"/>
      <c r="AD94" s="166"/>
      <c r="AE94" s="166"/>
      <c r="AF94" s="166"/>
      <c r="AG94" s="166"/>
      <c r="AH94" s="166"/>
      <c r="AI94" s="166"/>
      <c r="AJ94" s="17"/>
      <c r="AK94" s="17"/>
      <c r="AL94" s="17"/>
      <c r="AM94" s="17"/>
    </row>
    <row r="95" spans="2:39" s="2" customFormat="1" ht="149.5" customHeight="1">
      <c r="D95" s="37"/>
      <c r="E95" s="2" t="s">
        <v>2815</v>
      </c>
      <c r="I95" s="18" t="s">
        <v>376</v>
      </c>
      <c r="K95" s="213" t="s">
        <v>3045</v>
      </c>
      <c r="L95" s="209" t="s">
        <v>2784</v>
      </c>
      <c r="M95" s="239" t="s">
        <v>1598</v>
      </c>
      <c r="N95" s="217"/>
      <c r="O95" s="216" t="s">
        <v>22</v>
      </c>
      <c r="P95" s="215" t="s">
        <v>2813</v>
      </c>
      <c r="Q95" s="215" t="s">
        <v>2814</v>
      </c>
      <c r="S95" s="17"/>
      <c r="T95" s="166"/>
      <c r="U95" s="166"/>
      <c r="V95" s="166"/>
      <c r="W95" s="166"/>
      <c r="X95" s="166"/>
      <c r="Y95" s="166"/>
      <c r="Z95" s="166"/>
      <c r="AA95" s="166"/>
      <c r="AB95" s="166"/>
      <c r="AC95" s="166"/>
      <c r="AD95" s="166"/>
      <c r="AE95" s="166"/>
      <c r="AF95" s="166"/>
      <c r="AG95" s="166"/>
      <c r="AH95" s="166"/>
      <c r="AI95" s="166"/>
      <c r="AJ95" s="17"/>
      <c r="AK95" s="17"/>
      <c r="AL95" s="17"/>
      <c r="AM95" s="17"/>
    </row>
    <row r="96" spans="2:39" s="2" customFormat="1" ht="149.5" customHeight="1">
      <c r="D96" s="37"/>
      <c r="E96" s="2" t="s">
        <v>2849</v>
      </c>
      <c r="I96" s="18" t="s">
        <v>376</v>
      </c>
      <c r="K96" s="213" t="s">
        <v>3046</v>
      </c>
      <c r="L96" s="209" t="s">
        <v>2784</v>
      </c>
      <c r="M96" s="239" t="s">
        <v>1598</v>
      </c>
      <c r="N96" s="217"/>
      <c r="O96" s="216" t="s">
        <v>22</v>
      </c>
      <c r="P96" s="215" t="s">
        <v>2846</v>
      </c>
      <c r="Q96" s="215" t="s">
        <v>2847</v>
      </c>
      <c r="S96" s="17"/>
      <c r="T96" s="166"/>
      <c r="U96" s="166"/>
      <c r="V96" s="166"/>
      <c r="W96" s="166"/>
      <c r="X96" s="166"/>
      <c r="Y96" s="166"/>
      <c r="Z96" s="166"/>
      <c r="AA96" s="166"/>
      <c r="AB96" s="166"/>
      <c r="AC96" s="166"/>
      <c r="AD96" s="166"/>
      <c r="AE96" s="166"/>
      <c r="AF96" s="166"/>
      <c r="AG96" s="166"/>
      <c r="AH96" s="166"/>
      <c r="AI96" s="166"/>
      <c r="AJ96" s="17"/>
      <c r="AK96" s="17"/>
      <c r="AL96" s="17"/>
      <c r="AM96" s="17"/>
    </row>
    <row r="97" spans="2:41" s="2" customFormat="1" ht="149.5" customHeight="1">
      <c r="D97" s="37"/>
      <c r="E97" s="2" t="s">
        <v>2848</v>
      </c>
      <c r="I97" s="18" t="s">
        <v>376</v>
      </c>
      <c r="K97" s="213" t="s">
        <v>3047</v>
      </c>
      <c r="L97" s="209" t="s">
        <v>2784</v>
      </c>
      <c r="M97" s="239" t="s">
        <v>1598</v>
      </c>
      <c r="N97" s="217"/>
      <c r="O97" s="216" t="s">
        <v>22</v>
      </c>
      <c r="P97" s="215" t="s">
        <v>2846</v>
      </c>
      <c r="Q97" s="215" t="s">
        <v>2847</v>
      </c>
      <c r="S97" s="17"/>
      <c r="T97" s="166"/>
      <c r="U97" s="166"/>
      <c r="V97" s="166"/>
      <c r="W97" s="166"/>
      <c r="X97" s="166"/>
      <c r="Y97" s="166"/>
      <c r="Z97" s="166"/>
      <c r="AA97" s="166"/>
      <c r="AB97" s="166"/>
      <c r="AC97" s="166"/>
      <c r="AD97" s="166"/>
      <c r="AE97" s="166"/>
      <c r="AF97" s="166"/>
      <c r="AG97" s="166"/>
      <c r="AH97" s="166"/>
      <c r="AI97" s="166"/>
      <c r="AJ97" s="17"/>
      <c r="AK97" s="17"/>
      <c r="AL97" s="17"/>
      <c r="AM97" s="17"/>
    </row>
    <row r="98" spans="2:41" s="2" customFormat="1" ht="149.5" customHeight="1">
      <c r="D98" s="37"/>
      <c r="E98" s="2" t="s">
        <v>2850</v>
      </c>
      <c r="I98" s="18" t="s">
        <v>376</v>
      </c>
      <c r="K98" s="213" t="s">
        <v>3048</v>
      </c>
      <c r="L98" s="209" t="s">
        <v>2784</v>
      </c>
      <c r="M98" s="239" t="s">
        <v>1598</v>
      </c>
      <c r="N98" s="217"/>
      <c r="O98" s="216" t="s">
        <v>22</v>
      </c>
      <c r="P98" s="215" t="s">
        <v>2846</v>
      </c>
      <c r="Q98" s="215" t="s">
        <v>2853</v>
      </c>
      <c r="S98" s="17"/>
      <c r="T98" s="166"/>
      <c r="U98" s="166"/>
      <c r="V98" s="166"/>
      <c r="W98" s="166"/>
      <c r="X98" s="166"/>
      <c r="Y98" s="166"/>
      <c r="Z98" s="166"/>
      <c r="AA98" s="166"/>
      <c r="AB98" s="166"/>
      <c r="AC98" s="166"/>
      <c r="AD98" s="166"/>
      <c r="AE98" s="166"/>
      <c r="AF98" s="166"/>
      <c r="AG98" s="166"/>
      <c r="AH98" s="166"/>
      <c r="AI98" s="166"/>
      <c r="AJ98" s="17"/>
      <c r="AK98" s="17"/>
      <c r="AL98" s="17"/>
      <c r="AM98" s="17"/>
    </row>
    <row r="99" spans="2:41" s="2" customFormat="1" ht="149.5" customHeight="1">
      <c r="D99" s="37"/>
      <c r="E99" s="2" t="s">
        <v>2856</v>
      </c>
      <c r="I99" s="18" t="s">
        <v>376</v>
      </c>
      <c r="K99" s="2" t="s">
        <v>3049</v>
      </c>
      <c r="L99" s="209" t="s">
        <v>2784</v>
      </c>
      <c r="M99" s="239" t="s">
        <v>1598</v>
      </c>
      <c r="N99" s="217"/>
      <c r="O99" s="216" t="s">
        <v>22</v>
      </c>
      <c r="P99" s="215" t="s">
        <v>2846</v>
      </c>
      <c r="Q99" s="215" t="s">
        <v>2857</v>
      </c>
      <c r="S99" s="17"/>
      <c r="T99" s="166"/>
      <c r="U99" s="166"/>
      <c r="V99" s="166"/>
      <c r="W99" s="166"/>
      <c r="X99" s="166"/>
      <c r="Y99" s="166"/>
      <c r="Z99" s="166"/>
      <c r="AA99" s="166"/>
      <c r="AB99" s="166"/>
      <c r="AC99" s="166"/>
      <c r="AD99" s="166"/>
      <c r="AE99" s="166"/>
      <c r="AF99" s="166"/>
      <c r="AG99" s="166"/>
      <c r="AH99" s="166"/>
      <c r="AI99" s="166"/>
      <c r="AJ99" s="17"/>
      <c r="AK99" s="17"/>
      <c r="AL99" s="17"/>
      <c r="AM99" s="17"/>
    </row>
    <row r="100" spans="2:41" s="2" customFormat="1" ht="149.5" customHeight="1">
      <c r="D100" s="2" t="s">
        <v>18</v>
      </c>
      <c r="E100" s="2" t="s">
        <v>2900</v>
      </c>
      <c r="F100" s="37"/>
      <c r="G100" s="2" t="s">
        <v>756</v>
      </c>
      <c r="I100" s="18" t="s">
        <v>376</v>
      </c>
      <c r="K100" s="213" t="s">
        <v>2901</v>
      </c>
      <c r="L100" s="209" t="s">
        <v>2784</v>
      </c>
      <c r="M100" s="239" t="s">
        <v>1598</v>
      </c>
      <c r="N100" s="217"/>
      <c r="O100" s="216" t="s">
        <v>22</v>
      </c>
      <c r="P100" s="215" t="s">
        <v>2873</v>
      </c>
      <c r="Q100" s="215" t="s">
        <v>2872</v>
      </c>
      <c r="S100" s="2" t="s">
        <v>3111</v>
      </c>
      <c r="T100" s="166" t="s">
        <v>376</v>
      </c>
      <c r="U100" s="166"/>
      <c r="V100" s="166" t="s">
        <v>757</v>
      </c>
      <c r="W100" s="167" t="s">
        <v>649</v>
      </c>
      <c r="X100" s="167" t="s">
        <v>650</v>
      </c>
      <c r="Y100" s="167">
        <v>0</v>
      </c>
      <c r="Z100" s="168" t="s">
        <v>22</v>
      </c>
      <c r="AA100" s="166" t="s">
        <v>559</v>
      </c>
      <c r="AB100" s="169" t="s">
        <v>747</v>
      </c>
      <c r="AC100" s="166"/>
      <c r="AD100" s="166"/>
      <c r="AE100" s="166"/>
      <c r="AF100" s="166"/>
      <c r="AG100" s="166"/>
      <c r="AH100" s="166"/>
      <c r="AI100" s="166"/>
      <c r="AJ100" s="17"/>
      <c r="AK100" s="17"/>
      <c r="AL100" s="17"/>
      <c r="AM100" s="17"/>
      <c r="AN100" s="17"/>
      <c r="AO100" s="17"/>
    </row>
    <row r="101" spans="2:41" s="2" customFormat="1" ht="149.5" customHeight="1">
      <c r="D101" s="37"/>
      <c r="E101" s="2" t="s">
        <v>2904</v>
      </c>
      <c r="I101" s="18" t="s">
        <v>376</v>
      </c>
      <c r="K101" s="213" t="s">
        <v>2905</v>
      </c>
      <c r="L101" s="209" t="s">
        <v>2784</v>
      </c>
      <c r="M101" s="239" t="s">
        <v>1598</v>
      </c>
      <c r="N101" s="217"/>
      <c r="O101" s="216" t="s">
        <v>22</v>
      </c>
      <c r="P101" s="215" t="s">
        <v>2902</v>
      </c>
      <c r="Q101" s="215" t="s">
        <v>2903</v>
      </c>
      <c r="S101" s="17" t="s">
        <v>3112</v>
      </c>
      <c r="T101" s="166"/>
      <c r="U101" s="166"/>
      <c r="V101" s="166"/>
      <c r="W101" s="166"/>
      <c r="X101" s="166"/>
      <c r="Y101" s="166"/>
      <c r="Z101" s="166"/>
      <c r="AA101" s="166"/>
      <c r="AB101" s="166"/>
      <c r="AC101" s="166"/>
      <c r="AD101" s="166"/>
      <c r="AE101" s="166"/>
      <c r="AF101" s="166"/>
      <c r="AG101" s="166"/>
      <c r="AH101" s="166"/>
      <c r="AI101" s="166"/>
      <c r="AJ101" s="17"/>
      <c r="AK101" s="17"/>
      <c r="AL101" s="17"/>
      <c r="AM101" s="17"/>
    </row>
    <row r="102" spans="2:41" s="2" customFormat="1" ht="149.5" customHeight="1">
      <c r="D102" s="37"/>
      <c r="I102" s="18"/>
      <c r="K102" s="213"/>
      <c r="L102" s="209"/>
      <c r="M102" s="239"/>
      <c r="N102" s="217"/>
      <c r="O102" s="216"/>
      <c r="P102" s="215"/>
      <c r="Q102" s="215"/>
      <c r="T102" s="166"/>
      <c r="U102" s="166"/>
      <c r="V102" s="166"/>
      <c r="W102" s="166"/>
      <c r="X102" s="166"/>
      <c r="Y102" s="166"/>
      <c r="Z102" s="166"/>
      <c r="AA102" s="166"/>
      <c r="AB102" s="166"/>
      <c r="AC102" s="166"/>
      <c r="AD102" s="166"/>
      <c r="AE102" s="166"/>
      <c r="AF102" s="166"/>
      <c r="AG102" s="166"/>
      <c r="AH102" s="166"/>
      <c r="AI102" s="166"/>
      <c r="AJ102" s="17"/>
      <c r="AK102" s="17"/>
      <c r="AL102" s="17"/>
      <c r="AM102" s="17"/>
    </row>
    <row r="103" spans="2:41" s="2" customFormat="1">
      <c r="B103" s="2">
        <v>66</v>
      </c>
      <c r="D103" s="37" t="s">
        <v>282</v>
      </c>
      <c r="E103" s="2" t="s">
        <v>72</v>
      </c>
      <c r="K103" s="213"/>
      <c r="L103" s="213"/>
      <c r="M103" s="213"/>
      <c r="T103" s="166" t="s">
        <v>376</v>
      </c>
      <c r="U103" s="166"/>
      <c r="V103" s="166" t="s">
        <v>1415</v>
      </c>
      <c r="W103" s="171" t="s">
        <v>1598</v>
      </c>
      <c r="X103" s="166"/>
      <c r="Y103" s="166"/>
      <c r="Z103" s="166"/>
      <c r="AA103" s="166"/>
      <c r="AB103" s="166"/>
      <c r="AC103" s="166"/>
      <c r="AD103" s="166"/>
      <c r="AE103" s="166"/>
      <c r="AF103" s="166"/>
      <c r="AG103" s="166"/>
      <c r="AH103" s="166"/>
      <c r="AI103" s="166"/>
      <c r="AJ103" s="17"/>
      <c r="AK103" s="17"/>
      <c r="AL103" s="17"/>
      <c r="AM103" s="17"/>
    </row>
    <row r="104" spans="2:41" s="2" customFormat="1">
      <c r="B104" s="2">
        <v>67</v>
      </c>
      <c r="D104" s="37"/>
      <c r="E104" s="2" t="s">
        <v>283</v>
      </c>
      <c r="K104" s="213"/>
      <c r="L104" s="213"/>
      <c r="M104" s="213"/>
      <c r="T104" s="166"/>
      <c r="U104" s="166"/>
      <c r="V104" s="166"/>
      <c r="W104" s="173"/>
      <c r="X104" s="174"/>
      <c r="Y104" s="174"/>
      <c r="Z104" s="181"/>
      <c r="AA104" s="166"/>
      <c r="AB104" s="166"/>
      <c r="AC104" s="166"/>
      <c r="AD104" s="166"/>
      <c r="AE104" s="166"/>
      <c r="AF104" s="166"/>
      <c r="AG104" s="166"/>
      <c r="AH104" s="166"/>
      <c r="AI104" s="166"/>
      <c r="AJ104" s="17"/>
      <c r="AK104" s="17"/>
      <c r="AL104" s="17"/>
      <c r="AM104" s="17"/>
    </row>
    <row r="105" spans="2:41" s="2" customFormat="1" ht="116">
      <c r="D105" s="37"/>
      <c r="E105" s="2" t="s">
        <v>2788</v>
      </c>
      <c r="I105" s="18" t="s">
        <v>376</v>
      </c>
      <c r="K105" s="213" t="s">
        <v>2852</v>
      </c>
      <c r="L105" s="209" t="s">
        <v>2784</v>
      </c>
      <c r="M105" s="239" t="s">
        <v>1598</v>
      </c>
      <c r="N105" s="217"/>
      <c r="O105" s="216" t="s">
        <v>22</v>
      </c>
      <c r="P105" s="215" t="s">
        <v>2789</v>
      </c>
      <c r="Q105" s="215" t="s">
        <v>2790</v>
      </c>
      <c r="S105" s="17" t="s">
        <v>3050</v>
      </c>
      <c r="T105" s="166"/>
      <c r="U105" s="166"/>
      <c r="V105" s="166"/>
      <c r="W105" s="173"/>
      <c r="X105" s="174"/>
      <c r="Y105" s="174"/>
      <c r="Z105" s="181"/>
      <c r="AA105" s="166"/>
      <c r="AB105" s="166"/>
      <c r="AC105" s="166"/>
      <c r="AD105" s="166"/>
      <c r="AE105" s="166"/>
      <c r="AF105" s="166"/>
      <c r="AG105" s="166"/>
      <c r="AH105" s="166"/>
      <c r="AI105" s="166"/>
      <c r="AJ105" s="17"/>
      <c r="AK105" s="17"/>
      <c r="AL105" s="17"/>
      <c r="AM105" s="17"/>
    </row>
    <row r="106" spans="2:41" s="2" customFormat="1" ht="182.15" customHeight="1">
      <c r="B106" s="2">
        <v>68</v>
      </c>
      <c r="D106" s="37" t="s">
        <v>2537</v>
      </c>
      <c r="I106" s="2" t="s">
        <v>376</v>
      </c>
      <c r="K106" s="213" t="s">
        <v>2851</v>
      </c>
      <c r="L106" s="209" t="s">
        <v>2321</v>
      </c>
      <c r="M106" s="218" t="s">
        <v>2322</v>
      </c>
      <c r="N106" s="213" t="s">
        <v>2323</v>
      </c>
      <c r="O106" s="216" t="s">
        <v>22</v>
      </c>
      <c r="P106" s="215" t="s">
        <v>938</v>
      </c>
      <c r="Q106" s="219" t="s">
        <v>2536</v>
      </c>
      <c r="T106" s="166"/>
      <c r="U106" s="166"/>
      <c r="V106" s="166"/>
      <c r="W106" s="173"/>
      <c r="X106" s="174"/>
      <c r="Y106" s="174"/>
      <c r="Z106" s="181"/>
      <c r="AA106" s="166"/>
      <c r="AB106" s="166"/>
      <c r="AC106" s="166"/>
      <c r="AD106" s="166"/>
      <c r="AE106" s="166"/>
      <c r="AF106" s="166"/>
      <c r="AG106" s="166"/>
      <c r="AH106" s="166"/>
      <c r="AI106" s="166"/>
      <c r="AJ106" s="17"/>
      <c r="AK106" s="17"/>
      <c r="AL106" s="17"/>
      <c r="AM106" s="17"/>
    </row>
    <row r="107" spans="2:41" s="2" customFormat="1">
      <c r="B107" s="2">
        <v>69</v>
      </c>
      <c r="D107" s="37" t="s">
        <v>358</v>
      </c>
      <c r="E107" s="2" t="s">
        <v>359</v>
      </c>
      <c r="L107" s="213"/>
      <c r="M107" s="213"/>
      <c r="Q107" s="2" t="s">
        <v>2538</v>
      </c>
      <c r="T107" s="166"/>
      <c r="U107" s="166"/>
      <c r="V107" s="166"/>
      <c r="W107" s="166"/>
      <c r="X107" s="171"/>
      <c r="Y107" s="166"/>
      <c r="Z107" s="170"/>
      <c r="AA107" s="166"/>
      <c r="AB107" s="166"/>
      <c r="AC107" s="166"/>
      <c r="AD107" s="166"/>
      <c r="AE107" s="166"/>
      <c r="AF107" s="166"/>
      <c r="AG107" s="166"/>
      <c r="AH107" s="166"/>
      <c r="AI107" s="166"/>
      <c r="AJ107" s="17"/>
      <c r="AK107" s="17"/>
      <c r="AL107" s="17"/>
      <c r="AM107" s="17"/>
    </row>
    <row r="108" spans="2:41" s="2" customFormat="1" ht="319">
      <c r="B108" s="2">
        <v>70</v>
      </c>
      <c r="D108" s="37"/>
      <c r="E108" s="2" t="s">
        <v>948</v>
      </c>
      <c r="I108" s="18" t="s">
        <v>376</v>
      </c>
      <c r="K108" s="213" t="s">
        <v>3051</v>
      </c>
      <c r="L108" s="209" t="s">
        <v>2784</v>
      </c>
      <c r="M108" s="239" t="s">
        <v>1598</v>
      </c>
      <c r="N108" s="217"/>
      <c r="O108" s="216" t="s">
        <v>22</v>
      </c>
      <c r="P108" s="215" t="s">
        <v>2828</v>
      </c>
      <c r="Q108" s="215" t="s">
        <v>2829</v>
      </c>
      <c r="S108" s="17"/>
      <c r="T108" s="166" t="s">
        <v>376</v>
      </c>
      <c r="U108" s="166"/>
      <c r="V108" s="166" t="s">
        <v>949</v>
      </c>
      <c r="W108" s="167" t="s">
        <v>823</v>
      </c>
      <c r="X108" s="167" t="s">
        <v>664</v>
      </c>
      <c r="Y108" s="167">
        <v>0</v>
      </c>
      <c r="Z108" s="168" t="s">
        <v>22</v>
      </c>
      <c r="AA108" s="167" t="s">
        <v>950</v>
      </c>
      <c r="AB108" s="167" t="s">
        <v>946</v>
      </c>
      <c r="AC108" s="166" t="s">
        <v>2114</v>
      </c>
      <c r="AD108" s="166"/>
      <c r="AE108" s="166"/>
      <c r="AF108" s="166"/>
      <c r="AG108" s="166"/>
      <c r="AH108" s="166"/>
      <c r="AI108" s="166"/>
      <c r="AJ108" s="17"/>
      <c r="AK108" s="17"/>
      <c r="AL108" s="17"/>
      <c r="AM108" s="17"/>
    </row>
    <row r="109" spans="2:41" s="2" customFormat="1" ht="246.5">
      <c r="B109" s="2">
        <v>71</v>
      </c>
      <c r="D109" s="37"/>
      <c r="E109" s="2" t="s">
        <v>768</v>
      </c>
      <c r="K109" s="213"/>
      <c r="L109" s="213"/>
      <c r="M109" s="213"/>
      <c r="T109" s="166" t="s">
        <v>376</v>
      </c>
      <c r="U109" s="166"/>
      <c r="V109" s="166" t="s">
        <v>769</v>
      </c>
      <c r="W109" s="167" t="s">
        <v>649</v>
      </c>
      <c r="X109" s="167" t="s">
        <v>650</v>
      </c>
      <c r="Y109" s="167">
        <v>0</v>
      </c>
      <c r="Z109" s="168" t="s">
        <v>22</v>
      </c>
      <c r="AA109" s="166" t="s">
        <v>619</v>
      </c>
      <c r="AB109" s="169" t="s">
        <v>761</v>
      </c>
      <c r="AC109" s="166"/>
      <c r="AD109" s="166"/>
      <c r="AE109" s="166"/>
      <c r="AF109" s="166"/>
      <c r="AG109" s="166"/>
      <c r="AH109" s="166"/>
      <c r="AI109" s="166"/>
      <c r="AJ109" s="17"/>
      <c r="AK109" s="17"/>
      <c r="AL109" s="17"/>
      <c r="AM109" s="17"/>
    </row>
    <row r="110" spans="2:41" s="2" customFormat="1" ht="377">
      <c r="B110" s="2">
        <v>72</v>
      </c>
      <c r="D110" s="37" t="s">
        <v>332</v>
      </c>
      <c r="I110" s="18" t="s">
        <v>376</v>
      </c>
      <c r="K110" s="213" t="s">
        <v>2956</v>
      </c>
      <c r="L110" s="209" t="s">
        <v>2784</v>
      </c>
      <c r="M110" s="239" t="s">
        <v>1598</v>
      </c>
      <c r="N110" s="217"/>
      <c r="O110" s="216" t="s">
        <v>22</v>
      </c>
      <c r="P110" s="215" t="s">
        <v>1100</v>
      </c>
      <c r="Q110" s="215" t="s">
        <v>2954</v>
      </c>
      <c r="S110" s="17"/>
      <c r="T110" s="166"/>
      <c r="U110" s="166"/>
      <c r="V110" s="166"/>
      <c r="W110" s="166"/>
      <c r="X110" s="166"/>
      <c r="Y110" s="166"/>
      <c r="Z110" s="170"/>
      <c r="AA110" s="166"/>
      <c r="AB110" s="166"/>
      <c r="AC110" s="166"/>
      <c r="AD110" s="166"/>
      <c r="AE110" s="166"/>
      <c r="AF110" s="166"/>
      <c r="AG110" s="166"/>
      <c r="AH110" s="166"/>
      <c r="AI110" s="166"/>
      <c r="AJ110" s="17"/>
      <c r="AK110" s="17"/>
      <c r="AL110" s="17"/>
      <c r="AM110" s="17"/>
    </row>
    <row r="111" spans="2:41" s="2" customFormat="1" ht="409.5">
      <c r="D111" s="37"/>
      <c r="E111" s="2" t="s">
        <v>333</v>
      </c>
      <c r="I111" s="18" t="s">
        <v>376</v>
      </c>
      <c r="K111" s="213" t="s">
        <v>2957</v>
      </c>
      <c r="L111" s="209" t="s">
        <v>2784</v>
      </c>
      <c r="M111" s="239" t="s">
        <v>1598</v>
      </c>
      <c r="N111" s="217"/>
      <c r="O111" s="216" t="s">
        <v>22</v>
      </c>
      <c r="P111" s="215" t="s">
        <v>1100</v>
      </c>
      <c r="Q111" s="215" t="s">
        <v>2955</v>
      </c>
      <c r="S111" s="17" t="s">
        <v>3113</v>
      </c>
      <c r="T111" s="166"/>
      <c r="U111" s="166"/>
      <c r="V111" s="166"/>
      <c r="W111" s="191"/>
      <c r="X111" s="191"/>
      <c r="Y111" s="191"/>
      <c r="Z111" s="170"/>
      <c r="AA111" s="166"/>
      <c r="AB111" s="166"/>
      <c r="AC111" s="166"/>
      <c r="AD111" s="166"/>
      <c r="AE111" s="166"/>
      <c r="AF111" s="166"/>
      <c r="AG111" s="166"/>
      <c r="AH111" s="166"/>
      <c r="AI111" s="166"/>
      <c r="AJ111" s="17"/>
      <c r="AK111" s="17"/>
      <c r="AL111" s="17"/>
      <c r="AM111" s="17"/>
    </row>
    <row r="112" spans="2:41" s="2" customFormat="1" ht="163.5">
      <c r="D112" s="37"/>
      <c r="I112" s="18" t="s">
        <v>376</v>
      </c>
      <c r="K112" s="213" t="s">
        <v>3114</v>
      </c>
      <c r="L112" s="209" t="s">
        <v>2784</v>
      </c>
      <c r="M112" s="239" t="s">
        <v>1598</v>
      </c>
      <c r="N112" s="217"/>
      <c r="O112" s="216" t="s">
        <v>22</v>
      </c>
      <c r="P112" s="215" t="s">
        <v>1103</v>
      </c>
      <c r="Q112" s="215" t="s">
        <v>2958</v>
      </c>
      <c r="S112" s="17"/>
      <c r="T112" s="166"/>
      <c r="U112" s="166"/>
      <c r="V112" s="166"/>
      <c r="W112" s="191"/>
      <c r="X112" s="191"/>
      <c r="Y112" s="191"/>
      <c r="Z112" s="170"/>
      <c r="AA112" s="166"/>
      <c r="AB112" s="166"/>
      <c r="AC112" s="166"/>
      <c r="AD112" s="166"/>
      <c r="AE112" s="166"/>
      <c r="AF112" s="166"/>
      <c r="AG112" s="166"/>
      <c r="AH112" s="166"/>
      <c r="AI112" s="166"/>
      <c r="AJ112" s="17"/>
      <c r="AK112" s="17"/>
      <c r="AL112" s="17"/>
      <c r="AM112" s="17"/>
    </row>
    <row r="113" spans="2:39" s="2" customFormat="1" ht="116">
      <c r="D113" s="37"/>
      <c r="I113" s="18" t="s">
        <v>376</v>
      </c>
      <c r="K113" s="213" t="s">
        <v>3052</v>
      </c>
      <c r="L113" s="209" t="s">
        <v>2784</v>
      </c>
      <c r="M113" s="239" t="s">
        <v>1598</v>
      </c>
      <c r="N113" s="217"/>
      <c r="O113" s="216" t="s">
        <v>22</v>
      </c>
      <c r="P113" s="215" t="s">
        <v>1102</v>
      </c>
      <c r="Q113" s="215" t="s">
        <v>2959</v>
      </c>
      <c r="S113" s="17" t="s">
        <v>3053</v>
      </c>
      <c r="T113" s="166"/>
      <c r="U113" s="166"/>
      <c r="V113" s="166"/>
      <c r="W113" s="191"/>
      <c r="X113" s="191"/>
      <c r="Y113" s="191"/>
      <c r="Z113" s="170"/>
      <c r="AA113" s="166"/>
      <c r="AB113" s="166"/>
      <c r="AC113" s="166"/>
      <c r="AD113" s="166"/>
      <c r="AE113" s="166"/>
      <c r="AF113" s="166"/>
      <c r="AG113" s="166"/>
      <c r="AH113" s="166"/>
      <c r="AI113" s="166"/>
      <c r="AJ113" s="17"/>
      <c r="AK113" s="17"/>
      <c r="AL113" s="17"/>
      <c r="AM113" s="17"/>
    </row>
    <row r="114" spans="2:39" s="2" customFormat="1">
      <c r="D114" s="37"/>
      <c r="I114" s="18"/>
      <c r="K114" s="213"/>
      <c r="L114" s="213"/>
      <c r="M114" s="213"/>
      <c r="T114" s="166"/>
      <c r="U114" s="166"/>
      <c r="V114" s="166"/>
      <c r="W114" s="191"/>
      <c r="X114" s="191"/>
      <c r="Y114" s="191"/>
      <c r="Z114" s="170"/>
      <c r="AA114" s="166"/>
      <c r="AB114" s="166"/>
      <c r="AC114" s="166"/>
      <c r="AD114" s="166"/>
      <c r="AE114" s="166"/>
      <c r="AF114" s="166"/>
      <c r="AG114" s="166"/>
      <c r="AH114" s="166"/>
      <c r="AI114" s="166"/>
      <c r="AJ114" s="17"/>
      <c r="AK114" s="17"/>
      <c r="AL114" s="17"/>
      <c r="AM114" s="17"/>
    </row>
    <row r="115" spans="2:39" s="2" customFormat="1">
      <c r="D115" s="37"/>
      <c r="I115" s="18"/>
      <c r="K115" s="213"/>
      <c r="L115" s="213"/>
      <c r="M115" s="213"/>
      <c r="T115" s="166"/>
      <c r="U115" s="166"/>
      <c r="V115" s="166"/>
      <c r="W115" s="191"/>
      <c r="X115" s="191"/>
      <c r="Y115" s="191"/>
      <c r="Z115" s="170"/>
      <c r="AA115" s="166"/>
      <c r="AB115" s="166"/>
      <c r="AC115" s="166"/>
      <c r="AD115" s="166"/>
      <c r="AE115" s="166"/>
      <c r="AF115" s="166"/>
      <c r="AG115" s="166"/>
      <c r="AH115" s="166"/>
      <c r="AI115" s="166"/>
      <c r="AJ115" s="17"/>
      <c r="AK115" s="17"/>
      <c r="AL115" s="17"/>
      <c r="AM115" s="17"/>
    </row>
    <row r="116" spans="2:39" s="2" customFormat="1">
      <c r="D116" s="37"/>
      <c r="I116" s="18"/>
      <c r="K116" s="213"/>
      <c r="L116" s="213"/>
      <c r="M116" s="213"/>
      <c r="T116" s="166"/>
      <c r="U116" s="166"/>
      <c r="V116" s="166"/>
      <c r="W116" s="191"/>
      <c r="X116" s="191"/>
      <c r="Y116" s="191"/>
      <c r="Z116" s="170"/>
      <c r="AA116" s="166"/>
      <c r="AB116" s="166"/>
      <c r="AC116" s="166"/>
      <c r="AD116" s="166"/>
      <c r="AE116" s="166"/>
      <c r="AF116" s="166"/>
      <c r="AG116" s="166"/>
      <c r="AH116" s="166"/>
      <c r="AI116" s="166"/>
      <c r="AJ116" s="17"/>
      <c r="AK116" s="17"/>
      <c r="AL116" s="17"/>
      <c r="AM116" s="17"/>
    </row>
    <row r="117" spans="2:39" s="2" customFormat="1">
      <c r="D117" s="37"/>
      <c r="K117" s="213"/>
      <c r="L117" s="213"/>
      <c r="M117" s="213"/>
      <c r="T117" s="166"/>
      <c r="U117" s="166"/>
      <c r="V117" s="166"/>
      <c r="W117" s="191"/>
      <c r="X117" s="191"/>
      <c r="Y117" s="191"/>
      <c r="Z117" s="170"/>
      <c r="AA117" s="166"/>
      <c r="AB117" s="166"/>
      <c r="AC117" s="166"/>
      <c r="AD117" s="166"/>
      <c r="AE117" s="166"/>
      <c r="AF117" s="166"/>
      <c r="AG117" s="166"/>
      <c r="AH117" s="166"/>
      <c r="AI117" s="166"/>
      <c r="AJ117" s="17"/>
      <c r="AK117" s="17"/>
      <c r="AL117" s="17"/>
      <c r="AM117" s="17"/>
    </row>
    <row r="118" spans="2:39" s="2" customFormat="1">
      <c r="D118" s="37"/>
      <c r="K118" s="213"/>
      <c r="L118" s="213"/>
      <c r="M118" s="213"/>
      <c r="T118" s="166"/>
      <c r="U118" s="166"/>
      <c r="V118" s="166"/>
      <c r="W118" s="191"/>
      <c r="X118" s="191"/>
      <c r="Y118" s="191"/>
      <c r="Z118" s="170"/>
      <c r="AA118" s="166"/>
      <c r="AB118" s="166"/>
      <c r="AC118" s="166"/>
      <c r="AD118" s="166"/>
      <c r="AE118" s="166"/>
      <c r="AF118" s="166"/>
      <c r="AG118" s="166"/>
      <c r="AH118" s="166"/>
      <c r="AI118" s="166"/>
      <c r="AJ118" s="17"/>
      <c r="AK118" s="17"/>
      <c r="AL118" s="17"/>
      <c r="AM118" s="17"/>
    </row>
    <row r="119" spans="2:39" s="2" customFormat="1" ht="72.5">
      <c r="B119" s="2">
        <v>73</v>
      </c>
      <c r="D119" s="37" t="s">
        <v>73</v>
      </c>
      <c r="E119" s="2" t="s">
        <v>1104</v>
      </c>
      <c r="K119" s="213"/>
      <c r="L119" s="213"/>
      <c r="M119" s="213"/>
      <c r="T119" s="166" t="s">
        <v>376</v>
      </c>
      <c r="U119" s="166"/>
      <c r="V119" s="166" t="s">
        <v>1105</v>
      </c>
      <c r="W119" s="172" t="s">
        <v>1080</v>
      </c>
      <c r="X119" s="172" t="s">
        <v>1081</v>
      </c>
      <c r="Y119" s="172">
        <v>0</v>
      </c>
      <c r="Z119" s="168" t="s">
        <v>22</v>
      </c>
      <c r="AA119" s="167" t="s">
        <v>1106</v>
      </c>
      <c r="AB119" s="167" t="s">
        <v>1092</v>
      </c>
      <c r="AC119" s="166"/>
      <c r="AD119" s="166"/>
      <c r="AE119" s="166"/>
      <c r="AF119" s="166"/>
      <c r="AG119" s="166"/>
      <c r="AH119" s="166"/>
      <c r="AI119" s="166"/>
      <c r="AJ119" s="17"/>
      <c r="AK119" s="17"/>
      <c r="AL119" s="17" t="s">
        <v>1962</v>
      </c>
      <c r="AM119" s="17"/>
    </row>
    <row r="120" spans="2:39" s="2" customFormat="1" ht="101.5">
      <c r="B120" s="2">
        <v>74</v>
      </c>
      <c r="D120" s="37"/>
      <c r="E120" s="2" t="s">
        <v>296</v>
      </c>
      <c r="K120" s="213"/>
      <c r="L120" s="213"/>
      <c r="M120" s="213"/>
      <c r="T120" s="166" t="s">
        <v>376</v>
      </c>
      <c r="U120" s="166"/>
      <c r="V120" s="166" t="s">
        <v>1344</v>
      </c>
      <c r="W120" s="172" t="s">
        <v>1110</v>
      </c>
      <c r="X120" s="172" t="s">
        <v>1111</v>
      </c>
      <c r="Y120" s="172">
        <v>0</v>
      </c>
      <c r="Z120" s="168" t="s">
        <v>22</v>
      </c>
      <c r="AA120" s="166" t="s">
        <v>1345</v>
      </c>
      <c r="AB120" s="169" t="s">
        <v>1346</v>
      </c>
      <c r="AC120" s="166" t="s">
        <v>1354</v>
      </c>
      <c r="AD120" s="166"/>
      <c r="AE120" s="166"/>
      <c r="AF120" s="166"/>
      <c r="AG120" s="166"/>
      <c r="AH120" s="166"/>
      <c r="AI120" s="166"/>
      <c r="AJ120" s="17"/>
      <c r="AK120" s="17"/>
      <c r="AL120" s="17" t="s">
        <v>1962</v>
      </c>
      <c r="AM120" s="17"/>
    </row>
    <row r="121" spans="2:39" s="2" customFormat="1">
      <c r="B121" s="2">
        <v>75</v>
      </c>
      <c r="D121" s="37"/>
      <c r="E121" s="2" t="s">
        <v>302</v>
      </c>
      <c r="K121" s="213"/>
      <c r="L121" s="213"/>
      <c r="M121" s="213"/>
      <c r="T121" s="166"/>
      <c r="U121" s="166"/>
      <c r="V121" s="166"/>
      <c r="W121" s="173"/>
      <c r="X121" s="174"/>
      <c r="Y121" s="174"/>
      <c r="Z121" s="181"/>
      <c r="AA121" s="166"/>
      <c r="AB121" s="171"/>
      <c r="AC121" s="166"/>
      <c r="AD121" s="166"/>
      <c r="AE121" s="166"/>
      <c r="AF121" s="166"/>
      <c r="AG121" s="166"/>
      <c r="AH121" s="166"/>
      <c r="AI121" s="166"/>
      <c r="AJ121" s="17"/>
      <c r="AK121" s="17"/>
      <c r="AL121" s="17"/>
      <c r="AM121" s="17"/>
    </row>
    <row r="122" spans="2:39" s="2" customFormat="1">
      <c r="B122" s="2">
        <v>76</v>
      </c>
      <c r="D122" s="37"/>
      <c r="E122" s="2" t="s">
        <v>328</v>
      </c>
      <c r="K122" s="213"/>
      <c r="L122" s="213"/>
      <c r="M122" s="213"/>
      <c r="T122" s="166"/>
      <c r="U122" s="166"/>
      <c r="V122" s="166"/>
      <c r="W122" s="173"/>
      <c r="X122" s="174"/>
      <c r="Y122" s="174"/>
      <c r="Z122" s="181"/>
      <c r="AA122" s="166"/>
      <c r="AB122" s="171"/>
      <c r="AC122" s="166"/>
      <c r="AD122" s="166"/>
      <c r="AE122" s="166"/>
      <c r="AF122" s="166"/>
      <c r="AG122" s="166"/>
      <c r="AH122" s="166"/>
      <c r="AI122" s="166"/>
      <c r="AJ122" s="17"/>
      <c r="AK122" s="17"/>
      <c r="AL122" s="17"/>
      <c r="AM122" s="17"/>
    </row>
    <row r="123" spans="2:39" s="2" customFormat="1">
      <c r="B123" s="2">
        <v>77</v>
      </c>
      <c r="D123" s="37"/>
      <c r="E123" s="2" t="s">
        <v>329</v>
      </c>
      <c r="K123" s="213"/>
      <c r="L123" s="213"/>
      <c r="M123" s="213"/>
      <c r="T123" s="166"/>
      <c r="U123" s="166"/>
      <c r="V123" s="166" t="s">
        <v>18</v>
      </c>
      <c r="W123" s="166"/>
      <c r="X123" s="166"/>
      <c r="Y123" s="166"/>
      <c r="Z123" s="166"/>
      <c r="AA123" s="166"/>
      <c r="AB123" s="166"/>
      <c r="AC123" s="166"/>
      <c r="AD123" s="166"/>
      <c r="AE123" s="166"/>
      <c r="AF123" s="166"/>
      <c r="AG123" s="166"/>
      <c r="AH123" s="166"/>
      <c r="AI123" s="166"/>
      <c r="AJ123" s="17"/>
      <c r="AK123" s="17"/>
      <c r="AL123" s="17"/>
      <c r="AM123" s="17"/>
    </row>
    <row r="124" spans="2:39" s="2" customFormat="1">
      <c r="B124" s="2">
        <v>78</v>
      </c>
      <c r="D124" s="37"/>
      <c r="E124" s="2" t="s">
        <v>1108</v>
      </c>
      <c r="K124" s="213"/>
      <c r="L124" s="213"/>
      <c r="M124" s="213"/>
      <c r="T124" s="166" t="s">
        <v>376</v>
      </c>
      <c r="U124" s="166"/>
      <c r="V124" s="166" t="s">
        <v>1108</v>
      </c>
      <c r="W124" s="172" t="s">
        <v>1080</v>
      </c>
      <c r="X124" s="172" t="s">
        <v>1081</v>
      </c>
      <c r="Y124" s="172">
        <v>0</v>
      </c>
      <c r="Z124" s="168" t="s">
        <v>22</v>
      </c>
      <c r="AA124" s="167" t="s">
        <v>767</v>
      </c>
      <c r="AB124" s="167" t="s">
        <v>1109</v>
      </c>
      <c r="AC124" s="166"/>
      <c r="AD124" s="166"/>
      <c r="AE124" s="166"/>
      <c r="AF124" s="166"/>
      <c r="AG124" s="166"/>
      <c r="AH124" s="166"/>
      <c r="AI124" s="166"/>
      <c r="AJ124" s="17"/>
      <c r="AK124" s="17"/>
      <c r="AL124" s="17"/>
      <c r="AM124" s="17"/>
    </row>
    <row r="125" spans="2:39" s="2" customFormat="1">
      <c r="B125" s="2">
        <v>79</v>
      </c>
      <c r="D125" s="37"/>
      <c r="E125" s="2" t="s">
        <v>303</v>
      </c>
      <c r="K125" s="213"/>
      <c r="L125" s="213"/>
      <c r="M125" s="213"/>
      <c r="T125" s="166"/>
      <c r="U125" s="166"/>
      <c r="V125" s="166"/>
      <c r="W125" s="173"/>
      <c r="X125" s="174"/>
      <c r="Y125" s="174"/>
      <c r="Z125" s="181"/>
      <c r="AA125" s="166"/>
      <c r="AB125" s="171"/>
      <c r="AC125" s="166"/>
      <c r="AD125" s="166"/>
      <c r="AE125" s="166"/>
      <c r="AF125" s="166"/>
      <c r="AG125" s="166"/>
      <c r="AH125" s="166"/>
      <c r="AI125" s="166"/>
      <c r="AJ125" s="17"/>
      <c r="AK125" s="17"/>
      <c r="AL125" s="17"/>
      <c r="AM125" s="17"/>
    </row>
    <row r="126" spans="2:39" s="2" customFormat="1" ht="244.5" customHeight="1">
      <c r="B126" s="2">
        <v>80</v>
      </c>
      <c r="C126" s="2" t="s">
        <v>18</v>
      </c>
      <c r="D126" s="37"/>
      <c r="E126" s="2" t="s">
        <v>306</v>
      </c>
      <c r="I126" s="2" t="s">
        <v>376</v>
      </c>
      <c r="K126" s="213" t="s">
        <v>2543</v>
      </c>
      <c r="L126" s="209" t="s">
        <v>2321</v>
      </c>
      <c r="M126" s="218" t="s">
        <v>2322</v>
      </c>
      <c r="N126" s="213" t="s">
        <v>2323</v>
      </c>
      <c r="O126" s="216" t="s">
        <v>22</v>
      </c>
      <c r="P126" s="215" t="s">
        <v>945</v>
      </c>
      <c r="Q126" s="219" t="s">
        <v>2542</v>
      </c>
      <c r="S126" s="17"/>
      <c r="T126" s="166"/>
      <c r="U126" s="166"/>
      <c r="V126" s="166"/>
      <c r="W126" s="173"/>
      <c r="X126" s="174"/>
      <c r="Y126" s="174"/>
      <c r="Z126" s="181"/>
      <c r="AA126" s="166"/>
      <c r="AB126" s="171"/>
      <c r="AC126" s="166"/>
      <c r="AD126" s="166"/>
      <c r="AE126" s="166"/>
      <c r="AF126" s="166"/>
      <c r="AG126" s="166"/>
      <c r="AH126" s="166"/>
      <c r="AI126" s="166"/>
      <c r="AJ126" s="17"/>
      <c r="AK126" s="17"/>
      <c r="AL126" s="17"/>
      <c r="AM126" s="17"/>
    </row>
    <row r="127" spans="2:39" s="2" customFormat="1">
      <c r="B127" s="2">
        <v>81</v>
      </c>
      <c r="C127" s="2" t="s">
        <v>18</v>
      </c>
      <c r="D127" s="37"/>
      <c r="E127" s="2" t="s">
        <v>343</v>
      </c>
      <c r="F127" s="2" t="s">
        <v>75</v>
      </c>
      <c r="K127" s="213"/>
      <c r="L127" s="213"/>
      <c r="M127" s="213"/>
      <c r="T127" s="166"/>
      <c r="U127" s="166"/>
      <c r="V127" s="166"/>
      <c r="W127" s="166"/>
      <c r="X127" s="166"/>
      <c r="Y127" s="166"/>
      <c r="Z127" s="166"/>
      <c r="AA127" s="166"/>
      <c r="AB127" s="166"/>
      <c r="AC127" s="166"/>
      <c r="AD127" s="166"/>
      <c r="AE127" s="166"/>
      <c r="AF127" s="166"/>
      <c r="AG127" s="166"/>
      <c r="AH127" s="166"/>
      <c r="AI127" s="166"/>
      <c r="AJ127" s="17"/>
      <c r="AK127" s="17"/>
      <c r="AL127" s="17"/>
      <c r="AM127" s="17"/>
    </row>
    <row r="128" spans="2:39" s="2" customFormat="1" ht="29">
      <c r="B128" s="2">
        <v>82</v>
      </c>
      <c r="D128" s="37"/>
      <c r="E128" s="2" t="s">
        <v>76</v>
      </c>
      <c r="F128" s="2" t="s">
        <v>331</v>
      </c>
      <c r="K128" s="213"/>
      <c r="L128" s="213"/>
      <c r="M128" s="213"/>
      <c r="T128" s="166" t="s">
        <v>376</v>
      </c>
      <c r="U128" s="166"/>
      <c r="V128" s="166" t="s">
        <v>1405</v>
      </c>
      <c r="W128" s="172" t="s">
        <v>1110</v>
      </c>
      <c r="X128" s="172" t="s">
        <v>1111</v>
      </c>
      <c r="Y128" s="172">
        <v>0</v>
      </c>
      <c r="Z128" s="168" t="s">
        <v>22</v>
      </c>
      <c r="AA128" s="166" t="s">
        <v>1406</v>
      </c>
      <c r="AB128" s="169" t="s">
        <v>1407</v>
      </c>
      <c r="AC128" s="166" t="s">
        <v>1354</v>
      </c>
      <c r="AD128" s="166"/>
      <c r="AE128" s="166"/>
      <c r="AF128" s="166"/>
      <c r="AG128" s="166"/>
      <c r="AH128" s="166"/>
      <c r="AI128" s="166"/>
      <c r="AJ128" s="17"/>
      <c r="AK128" s="17"/>
      <c r="AL128" s="17"/>
      <c r="AM128" s="17"/>
    </row>
    <row r="129" spans="2:39" s="2" customFormat="1" ht="58">
      <c r="B129" s="2">
        <v>83</v>
      </c>
      <c r="D129" s="37"/>
      <c r="F129" s="2" t="s">
        <v>1423</v>
      </c>
      <c r="I129" s="2" t="s">
        <v>376</v>
      </c>
      <c r="K129" s="213" t="s">
        <v>2584</v>
      </c>
      <c r="L129" s="209" t="s">
        <v>2321</v>
      </c>
      <c r="M129" s="218" t="s">
        <v>2322</v>
      </c>
      <c r="N129" s="213" t="s">
        <v>2323</v>
      </c>
      <c r="O129" s="216" t="s">
        <v>22</v>
      </c>
      <c r="P129" s="215" t="s">
        <v>2582</v>
      </c>
      <c r="Q129" s="219" t="s">
        <v>2583</v>
      </c>
      <c r="S129" s="17"/>
      <c r="T129" s="166" t="s">
        <v>376</v>
      </c>
      <c r="U129" s="166"/>
      <c r="V129" s="166" t="s">
        <v>1424</v>
      </c>
      <c r="W129" s="172" t="s">
        <v>1110</v>
      </c>
      <c r="X129" s="172" t="s">
        <v>1111</v>
      </c>
      <c r="Y129" s="172">
        <v>0</v>
      </c>
      <c r="Z129" s="168" t="s">
        <v>22</v>
      </c>
      <c r="AA129" s="166" t="s">
        <v>945</v>
      </c>
      <c r="AB129" s="169" t="s">
        <v>1425</v>
      </c>
      <c r="AC129" s="166"/>
      <c r="AD129" s="166"/>
      <c r="AE129" s="166"/>
      <c r="AF129" s="166"/>
      <c r="AG129" s="166"/>
      <c r="AH129" s="166"/>
      <c r="AI129" s="166"/>
      <c r="AJ129" s="17"/>
      <c r="AK129" s="17"/>
      <c r="AL129" s="17"/>
      <c r="AM129" s="17"/>
    </row>
    <row r="130" spans="2:39" s="2" customFormat="1">
      <c r="B130" s="2">
        <v>84</v>
      </c>
      <c r="C130" s="2">
        <v>1</v>
      </c>
      <c r="D130" s="37"/>
      <c r="E130" s="2" t="s">
        <v>1618</v>
      </c>
      <c r="F130" s="2" t="s">
        <v>77</v>
      </c>
      <c r="K130" s="213"/>
      <c r="L130" s="213"/>
      <c r="M130" s="213"/>
      <c r="T130" s="166"/>
      <c r="U130" s="166"/>
      <c r="V130" s="166"/>
      <c r="W130" s="166"/>
      <c r="X130" s="166"/>
      <c r="Y130" s="166"/>
      <c r="Z130" s="166"/>
      <c r="AA130" s="166"/>
      <c r="AB130" s="166"/>
      <c r="AC130" s="166" t="s">
        <v>1352</v>
      </c>
      <c r="AD130" s="166"/>
      <c r="AE130" s="166"/>
      <c r="AF130" s="166"/>
      <c r="AG130" s="166"/>
      <c r="AH130" s="166"/>
      <c r="AI130" s="166"/>
      <c r="AJ130" s="17"/>
      <c r="AK130" s="17"/>
      <c r="AL130" s="17"/>
      <c r="AM130" s="17"/>
    </row>
    <row r="131" spans="2:39" s="2" customFormat="1" ht="75" customHeight="1">
      <c r="B131" s="2">
        <v>85</v>
      </c>
      <c r="C131" s="2">
        <v>1</v>
      </c>
      <c r="D131" s="37"/>
      <c r="E131" s="17" t="s">
        <v>78</v>
      </c>
      <c r="F131" s="2" t="s">
        <v>77</v>
      </c>
      <c r="I131" s="2" t="s">
        <v>376</v>
      </c>
      <c r="K131" s="213" t="s">
        <v>3054</v>
      </c>
      <c r="L131" s="209" t="s">
        <v>2321</v>
      </c>
      <c r="M131" s="218" t="s">
        <v>2322</v>
      </c>
      <c r="N131" s="213" t="s">
        <v>2323</v>
      </c>
      <c r="O131" s="216" t="s">
        <v>22</v>
      </c>
      <c r="P131" s="215" t="s">
        <v>945</v>
      </c>
      <c r="Q131" s="219" t="s">
        <v>2542</v>
      </c>
      <c r="S131" s="17"/>
      <c r="T131" s="166"/>
      <c r="U131" s="166"/>
      <c r="V131" s="166"/>
      <c r="W131" s="166"/>
      <c r="X131" s="166"/>
      <c r="Y131" s="166"/>
      <c r="Z131" s="166"/>
      <c r="AA131" s="166"/>
      <c r="AB131" s="166"/>
      <c r="AC131" s="166" t="s">
        <v>1353</v>
      </c>
      <c r="AD131" s="166"/>
      <c r="AE131" s="166"/>
      <c r="AF131" s="166"/>
      <c r="AG131" s="166"/>
      <c r="AH131" s="166"/>
      <c r="AI131" s="166"/>
      <c r="AJ131" s="17"/>
      <c r="AK131" s="17"/>
      <c r="AL131" s="17"/>
      <c r="AM131" s="17"/>
    </row>
    <row r="132" spans="2:39" s="2" customFormat="1">
      <c r="B132" s="2">
        <v>86</v>
      </c>
      <c r="C132" s="2">
        <v>1</v>
      </c>
      <c r="D132" s="37"/>
      <c r="E132" s="17" t="s">
        <v>1619</v>
      </c>
      <c r="K132" s="213"/>
      <c r="L132" s="213"/>
      <c r="M132" s="213"/>
      <c r="T132" s="166"/>
      <c r="U132" s="166"/>
      <c r="V132" s="166"/>
      <c r="W132" s="166"/>
      <c r="X132" s="166"/>
      <c r="Y132" s="166"/>
      <c r="Z132" s="166"/>
      <c r="AA132" s="166"/>
      <c r="AB132" s="166"/>
      <c r="AC132" s="166"/>
      <c r="AD132" s="166"/>
      <c r="AE132" s="166"/>
      <c r="AF132" s="166"/>
      <c r="AG132" s="166"/>
      <c r="AH132" s="166"/>
      <c r="AI132" s="166"/>
      <c r="AJ132" s="17"/>
      <c r="AK132" s="17"/>
      <c r="AL132" s="17"/>
      <c r="AM132" s="17"/>
    </row>
    <row r="133" spans="2:39" s="2" customFormat="1">
      <c r="B133" s="2">
        <v>87</v>
      </c>
      <c r="D133" s="37"/>
      <c r="E133" s="17" t="s">
        <v>309</v>
      </c>
      <c r="K133" s="213"/>
      <c r="L133" s="213"/>
      <c r="M133" s="213"/>
      <c r="T133" s="166"/>
      <c r="U133" s="166"/>
      <c r="V133" s="166"/>
      <c r="W133" s="173"/>
      <c r="X133" s="174"/>
      <c r="Y133" s="174"/>
      <c r="Z133" s="181"/>
      <c r="AA133" s="166"/>
      <c r="AB133" s="171"/>
      <c r="AC133" s="166"/>
      <c r="AD133" s="166"/>
      <c r="AE133" s="166"/>
      <c r="AF133" s="166"/>
      <c r="AG133" s="166"/>
      <c r="AH133" s="166"/>
      <c r="AI133" s="166"/>
      <c r="AJ133" s="17"/>
      <c r="AK133" s="17"/>
      <c r="AL133" s="17"/>
      <c r="AM133" s="17"/>
    </row>
    <row r="134" spans="2:39" s="2" customFormat="1">
      <c r="B134" s="2">
        <v>88</v>
      </c>
      <c r="C134" s="2">
        <v>1</v>
      </c>
      <c r="D134" s="37"/>
      <c r="E134" s="2" t="s">
        <v>79</v>
      </c>
      <c r="K134" s="213"/>
      <c r="L134" s="213"/>
      <c r="M134" s="213"/>
      <c r="T134" s="166"/>
      <c r="U134" s="166"/>
      <c r="V134" s="166"/>
      <c r="W134" s="173"/>
      <c r="X134" s="174"/>
      <c r="Y134" s="174"/>
      <c r="Z134" s="181"/>
      <c r="AA134" s="166"/>
      <c r="AB134" s="171"/>
      <c r="AC134" s="166"/>
      <c r="AD134" s="166"/>
      <c r="AE134" s="166"/>
      <c r="AF134" s="166"/>
      <c r="AG134" s="166"/>
      <c r="AH134" s="166"/>
      <c r="AI134" s="166"/>
      <c r="AJ134" s="17"/>
      <c r="AK134" s="17"/>
      <c r="AL134" s="17"/>
      <c r="AM134" s="17"/>
    </row>
    <row r="135" spans="2:39" s="2" customFormat="1">
      <c r="B135" s="2">
        <v>89</v>
      </c>
      <c r="D135" s="37"/>
      <c r="E135" s="17" t="s">
        <v>80</v>
      </c>
      <c r="K135" s="213"/>
      <c r="L135" s="213"/>
      <c r="M135" s="213"/>
      <c r="T135" s="166"/>
      <c r="U135" s="166"/>
      <c r="V135" s="166"/>
      <c r="W135" s="166"/>
      <c r="X135" s="166"/>
      <c r="Y135" s="166"/>
      <c r="Z135" s="166"/>
      <c r="AA135" s="166"/>
      <c r="AB135" s="166"/>
      <c r="AC135" s="166"/>
      <c r="AD135" s="166"/>
      <c r="AE135" s="166"/>
      <c r="AF135" s="166"/>
      <c r="AG135" s="166"/>
      <c r="AH135" s="166"/>
      <c r="AI135" s="166"/>
      <c r="AJ135" s="17"/>
      <c r="AK135" s="17"/>
      <c r="AL135" s="17"/>
      <c r="AM135" s="17"/>
    </row>
    <row r="136" spans="2:39" s="2" customFormat="1">
      <c r="B136" s="2">
        <v>90</v>
      </c>
      <c r="D136" s="37"/>
      <c r="E136" s="17" t="s">
        <v>81</v>
      </c>
      <c r="K136" s="213"/>
      <c r="L136" s="213"/>
      <c r="M136" s="213"/>
      <c r="T136" s="166"/>
      <c r="U136" s="166"/>
      <c r="V136" s="166"/>
      <c r="W136" s="166"/>
      <c r="X136" s="166"/>
      <c r="Y136" s="166"/>
      <c r="Z136" s="166"/>
      <c r="AA136" s="166"/>
      <c r="AB136" s="166"/>
      <c r="AC136" s="166"/>
      <c r="AD136" s="166"/>
      <c r="AE136" s="166"/>
      <c r="AF136" s="166"/>
      <c r="AG136" s="166"/>
      <c r="AH136" s="166"/>
      <c r="AI136" s="166"/>
      <c r="AJ136" s="17"/>
      <c r="AK136" s="17"/>
      <c r="AL136" s="17"/>
      <c r="AM136" s="17"/>
    </row>
    <row r="137" spans="2:39" s="2" customFormat="1">
      <c r="B137" s="2">
        <v>91</v>
      </c>
      <c r="D137" s="37"/>
      <c r="E137" s="17" t="s">
        <v>82</v>
      </c>
      <c r="T137" s="166"/>
      <c r="U137" s="166"/>
      <c r="V137" s="166"/>
      <c r="W137" s="166"/>
      <c r="X137" s="171"/>
      <c r="Y137" s="166"/>
      <c r="Z137" s="170"/>
      <c r="AA137" s="166"/>
      <c r="AB137" s="166"/>
      <c r="AC137" s="166"/>
      <c r="AD137" s="166"/>
      <c r="AE137" s="166"/>
      <c r="AF137" s="166"/>
      <c r="AG137" s="166"/>
      <c r="AH137" s="166"/>
      <c r="AI137" s="166"/>
      <c r="AJ137" s="17"/>
      <c r="AK137" s="17"/>
      <c r="AL137" s="17"/>
      <c r="AM137" s="17"/>
    </row>
    <row r="138" spans="2:39" s="2" customFormat="1">
      <c r="B138" s="2">
        <v>92</v>
      </c>
      <c r="D138" s="37"/>
      <c r="E138" s="2" t="s">
        <v>291</v>
      </c>
      <c r="F138" s="2" t="s">
        <v>83</v>
      </c>
      <c r="K138" s="213"/>
      <c r="L138" s="213"/>
      <c r="M138" s="213"/>
      <c r="T138" s="166"/>
      <c r="U138" s="166"/>
      <c r="V138" s="166"/>
      <c r="W138" s="166"/>
      <c r="X138" s="166"/>
      <c r="Y138" s="166"/>
      <c r="Z138" s="170"/>
      <c r="AA138" s="166"/>
      <c r="AB138" s="166"/>
      <c r="AC138" s="166" t="s">
        <v>1355</v>
      </c>
      <c r="AD138" s="166"/>
      <c r="AE138" s="166"/>
      <c r="AF138" s="166"/>
      <c r="AG138" s="166"/>
      <c r="AH138" s="189"/>
      <c r="AI138" s="189"/>
      <c r="AJ138" s="17"/>
      <c r="AK138" s="17"/>
      <c r="AL138" s="17"/>
      <c r="AM138" s="17"/>
    </row>
    <row r="139" spans="2:39" s="2" customFormat="1">
      <c r="B139" s="2">
        <v>93</v>
      </c>
      <c r="D139" s="37"/>
      <c r="F139" s="2" t="s">
        <v>1620</v>
      </c>
      <c r="K139" s="213"/>
      <c r="L139" s="213"/>
      <c r="M139" s="213"/>
      <c r="T139" s="166"/>
      <c r="U139" s="166"/>
      <c r="V139" s="166"/>
      <c r="W139" s="166"/>
      <c r="X139" s="166"/>
      <c r="Y139" s="166"/>
      <c r="Z139" s="166"/>
      <c r="AA139" s="166"/>
      <c r="AB139" s="166"/>
      <c r="AC139" s="166"/>
      <c r="AD139" s="166"/>
      <c r="AE139" s="166"/>
      <c r="AF139" s="166"/>
      <c r="AG139" s="166"/>
      <c r="AH139" s="166"/>
      <c r="AI139" s="166"/>
      <c r="AJ139" s="17"/>
      <c r="AK139" s="17"/>
      <c r="AL139" s="17"/>
      <c r="AM139" s="17"/>
    </row>
    <row r="140" spans="2:39" s="2" customFormat="1" ht="58">
      <c r="B140" s="2">
        <v>94</v>
      </c>
      <c r="D140" s="37"/>
      <c r="E140" s="2" t="s">
        <v>2544</v>
      </c>
      <c r="I140" s="2" t="s">
        <v>376</v>
      </c>
      <c r="K140" s="213" t="s">
        <v>2545</v>
      </c>
      <c r="L140" s="209" t="s">
        <v>2321</v>
      </c>
      <c r="M140" s="218" t="s">
        <v>2322</v>
      </c>
      <c r="N140" s="213" t="s">
        <v>2323</v>
      </c>
      <c r="O140" s="216" t="s">
        <v>22</v>
      </c>
      <c r="P140" s="215" t="s">
        <v>950</v>
      </c>
      <c r="Q140" s="219" t="s">
        <v>2542</v>
      </c>
      <c r="T140" s="166"/>
      <c r="U140" s="166"/>
      <c r="V140" s="166"/>
      <c r="W140" s="191"/>
      <c r="X140" s="191"/>
      <c r="Y140" s="191"/>
      <c r="Z140" s="166"/>
      <c r="AA140" s="166"/>
      <c r="AB140" s="166"/>
      <c r="AC140" s="166"/>
      <c r="AD140" s="166"/>
      <c r="AE140" s="166"/>
      <c r="AF140" s="166"/>
      <c r="AG140" s="166"/>
      <c r="AH140" s="166"/>
      <c r="AI140" s="166"/>
      <c r="AJ140" s="17"/>
      <c r="AK140" s="17"/>
      <c r="AL140" s="17"/>
      <c r="AM140" s="17"/>
    </row>
    <row r="141" spans="2:39" s="2" customFormat="1" ht="87">
      <c r="B141" s="2">
        <v>95</v>
      </c>
      <c r="D141" s="37"/>
      <c r="E141" s="2" t="s">
        <v>1401</v>
      </c>
      <c r="K141" s="213"/>
      <c r="L141" s="213"/>
      <c r="M141" s="213"/>
      <c r="T141" s="166" t="s">
        <v>376</v>
      </c>
      <c r="U141" s="166"/>
      <c r="V141" s="166" t="s">
        <v>1404</v>
      </c>
      <c r="W141" s="172" t="s">
        <v>1110</v>
      </c>
      <c r="X141" s="172" t="s">
        <v>1111</v>
      </c>
      <c r="Y141" s="172">
        <v>0</v>
      </c>
      <c r="Z141" s="168" t="s">
        <v>22</v>
      </c>
      <c r="AA141" s="166" t="s">
        <v>1402</v>
      </c>
      <c r="AB141" s="169" t="s">
        <v>1403</v>
      </c>
      <c r="AC141" s="166"/>
      <c r="AD141" s="166"/>
      <c r="AE141" s="166"/>
      <c r="AF141" s="166"/>
      <c r="AG141" s="166"/>
      <c r="AH141" s="166"/>
      <c r="AI141" s="166"/>
      <c r="AJ141" s="17"/>
      <c r="AK141" s="17"/>
      <c r="AL141" s="17" t="s">
        <v>1962</v>
      </c>
      <c r="AM141" s="17"/>
    </row>
    <row r="142" spans="2:39" s="2" customFormat="1" ht="43.5">
      <c r="B142" s="2">
        <v>96</v>
      </c>
      <c r="D142" s="37"/>
      <c r="K142" s="213"/>
      <c r="L142" s="213"/>
      <c r="M142" s="213"/>
      <c r="T142" s="166" t="s">
        <v>376</v>
      </c>
      <c r="U142" s="166"/>
      <c r="V142" s="166" t="s">
        <v>1427</v>
      </c>
      <c r="W142" s="172" t="s">
        <v>1110</v>
      </c>
      <c r="X142" s="172" t="s">
        <v>1111</v>
      </c>
      <c r="Y142" s="172">
        <v>0</v>
      </c>
      <c r="Z142" s="168" t="s">
        <v>22</v>
      </c>
      <c r="AA142" s="166" t="s">
        <v>559</v>
      </c>
      <c r="AB142" s="169" t="s">
        <v>1411</v>
      </c>
      <c r="AC142" s="166"/>
      <c r="AD142" s="166"/>
      <c r="AE142" s="166"/>
      <c r="AF142" s="166"/>
      <c r="AG142" s="166"/>
      <c r="AH142" s="166"/>
      <c r="AI142" s="166"/>
      <c r="AJ142" s="17"/>
      <c r="AK142" s="17"/>
      <c r="AL142" s="17" t="s">
        <v>18</v>
      </c>
      <c r="AM142" s="17"/>
    </row>
    <row r="143" spans="2:39" s="2" customFormat="1" ht="72.5">
      <c r="B143" s="2">
        <v>97</v>
      </c>
      <c r="D143" s="37"/>
      <c r="E143" s="2" t="s">
        <v>1649</v>
      </c>
      <c r="K143" s="213"/>
      <c r="L143" s="213"/>
      <c r="M143" s="213"/>
      <c r="T143" s="166" t="s">
        <v>376</v>
      </c>
      <c r="U143" s="166"/>
      <c r="V143" s="166" t="s">
        <v>1648</v>
      </c>
      <c r="W143" s="172" t="s">
        <v>1614</v>
      </c>
      <c r="X143" s="172" t="s">
        <v>692</v>
      </c>
      <c r="Y143" s="172">
        <v>0</v>
      </c>
      <c r="Z143" s="168" t="s">
        <v>22</v>
      </c>
      <c r="AA143" s="167" t="s">
        <v>767</v>
      </c>
      <c r="AB143" s="167" t="s">
        <v>1650</v>
      </c>
      <c r="AC143" s="166"/>
      <c r="AD143" s="166"/>
      <c r="AE143" s="166"/>
      <c r="AF143" s="166"/>
      <c r="AG143" s="166"/>
      <c r="AH143" s="166"/>
      <c r="AI143" s="166"/>
      <c r="AJ143" s="17"/>
      <c r="AK143" s="17" t="s">
        <v>605</v>
      </c>
      <c r="AL143" s="17"/>
      <c r="AM143" s="17"/>
    </row>
    <row r="144" spans="2:39" s="2" customFormat="1">
      <c r="B144" s="2">
        <v>98</v>
      </c>
      <c r="D144" s="37" t="s">
        <v>344</v>
      </c>
      <c r="E144" s="2" t="s">
        <v>346</v>
      </c>
      <c r="K144" s="213"/>
      <c r="L144" s="213"/>
      <c r="M144" s="213"/>
      <c r="T144" s="166"/>
      <c r="U144" s="166"/>
      <c r="V144" s="166"/>
      <c r="W144" s="166"/>
      <c r="X144" s="166"/>
      <c r="Y144" s="166"/>
      <c r="Z144" s="170"/>
      <c r="AA144" s="166"/>
      <c r="AB144" s="171"/>
      <c r="AC144" s="166"/>
      <c r="AD144" s="166"/>
      <c r="AE144" s="166"/>
      <c r="AF144" s="166"/>
      <c r="AG144" s="166"/>
      <c r="AH144" s="166"/>
      <c r="AI144" s="166"/>
      <c r="AJ144" s="17"/>
      <c r="AK144" s="17"/>
      <c r="AL144" s="17"/>
      <c r="AM144" s="17"/>
    </row>
    <row r="145" spans="2:39" s="2" customFormat="1">
      <c r="B145" s="2">
        <v>99</v>
      </c>
      <c r="D145" s="37"/>
      <c r="E145" s="2" t="s">
        <v>347</v>
      </c>
      <c r="K145" s="213"/>
      <c r="L145" s="213"/>
      <c r="M145" s="213"/>
      <c r="T145" s="166"/>
      <c r="U145" s="166"/>
      <c r="V145" s="166"/>
      <c r="W145" s="166"/>
      <c r="X145" s="166"/>
      <c r="Y145" s="166"/>
      <c r="Z145" s="170"/>
      <c r="AA145" s="166"/>
      <c r="AB145" s="171"/>
      <c r="AC145" s="166"/>
      <c r="AD145" s="166"/>
      <c r="AE145" s="166"/>
      <c r="AF145" s="166"/>
      <c r="AG145" s="166"/>
      <c r="AH145" s="166"/>
      <c r="AI145" s="166"/>
      <c r="AJ145" s="17"/>
      <c r="AK145" s="17"/>
      <c r="AL145" s="17"/>
      <c r="AM145" s="17"/>
    </row>
    <row r="146" spans="2:39" s="2" customFormat="1" ht="58">
      <c r="B146" s="2">
        <v>100</v>
      </c>
      <c r="D146" s="37"/>
      <c r="E146" s="2" t="s">
        <v>341</v>
      </c>
      <c r="I146" s="18" t="s">
        <v>376</v>
      </c>
      <c r="K146" s="213" t="s">
        <v>3055</v>
      </c>
      <c r="L146" s="209" t="s">
        <v>2784</v>
      </c>
      <c r="M146" s="239" t="s">
        <v>1598</v>
      </c>
      <c r="N146" s="217"/>
      <c r="O146" s="216" t="s">
        <v>22</v>
      </c>
      <c r="P146" s="215" t="s">
        <v>2860</v>
      </c>
      <c r="Q146" s="215" t="s">
        <v>2861</v>
      </c>
      <c r="S146" s="17"/>
      <c r="T146" s="166"/>
      <c r="U146" s="166"/>
      <c r="V146" s="166"/>
      <c r="W146" s="173"/>
      <c r="X146" s="174"/>
      <c r="Y146" s="174"/>
      <c r="Z146" s="181"/>
      <c r="AA146" s="166"/>
      <c r="AB146" s="171"/>
      <c r="AC146" s="166"/>
      <c r="AD146" s="166"/>
      <c r="AE146" s="166"/>
      <c r="AF146" s="166"/>
      <c r="AG146" s="166"/>
      <c r="AH146" s="166"/>
      <c r="AI146" s="166"/>
      <c r="AJ146" s="17"/>
      <c r="AK146" s="17"/>
      <c r="AL146" s="17"/>
      <c r="AM146" s="17"/>
    </row>
    <row r="147" spans="2:39" s="2" customFormat="1" ht="130.5">
      <c r="B147" s="2">
        <v>101</v>
      </c>
      <c r="D147" s="37"/>
      <c r="E147" s="2" t="s">
        <v>342</v>
      </c>
      <c r="K147" s="213"/>
      <c r="L147" s="213"/>
      <c r="M147" s="213"/>
      <c r="T147" s="166" t="s">
        <v>376</v>
      </c>
      <c r="U147" s="166"/>
      <c r="V147" s="166" t="s">
        <v>694</v>
      </c>
      <c r="W147" s="167" t="s">
        <v>649</v>
      </c>
      <c r="X147" s="167" t="s">
        <v>650</v>
      </c>
      <c r="Y147" s="167">
        <v>0</v>
      </c>
      <c r="Z147" s="168" t="s">
        <v>22</v>
      </c>
      <c r="AA147" s="166" t="s">
        <v>689</v>
      </c>
      <c r="AB147" s="169" t="s">
        <v>691</v>
      </c>
      <c r="AC147" s="166"/>
      <c r="AD147" s="166"/>
      <c r="AE147" s="166" t="s">
        <v>695</v>
      </c>
      <c r="AF147" s="166" t="s">
        <v>2179</v>
      </c>
      <c r="AG147" s="166"/>
      <c r="AH147" s="166"/>
      <c r="AI147" s="166"/>
      <c r="AJ147" s="17"/>
      <c r="AK147" s="17"/>
      <c r="AL147" s="17"/>
      <c r="AM147" s="17"/>
    </row>
    <row r="148" spans="2:39" s="2" customFormat="1" ht="103" customHeight="1">
      <c r="B148" s="2">
        <v>102</v>
      </c>
      <c r="D148" s="37"/>
      <c r="E148" s="2" t="s">
        <v>1347</v>
      </c>
      <c r="K148" s="213"/>
      <c r="L148" s="213"/>
      <c r="M148" s="213"/>
      <c r="T148" s="166" t="s">
        <v>376</v>
      </c>
      <c r="U148" s="166"/>
      <c r="V148" s="166" t="s">
        <v>1348</v>
      </c>
      <c r="W148" s="172" t="s">
        <v>1110</v>
      </c>
      <c r="X148" s="172" t="s">
        <v>1111</v>
      </c>
      <c r="Y148" s="172">
        <v>0</v>
      </c>
      <c r="Z148" s="168" t="s">
        <v>22</v>
      </c>
      <c r="AA148" s="166" t="s">
        <v>1349</v>
      </c>
      <c r="AB148" s="169" t="s">
        <v>1350</v>
      </c>
      <c r="AC148" s="166"/>
      <c r="AD148" s="166"/>
      <c r="AE148" s="166"/>
      <c r="AF148" s="166"/>
      <c r="AG148" s="166"/>
      <c r="AH148" s="166"/>
      <c r="AI148" s="166"/>
      <c r="AJ148" s="17"/>
      <c r="AK148" s="17"/>
      <c r="AL148" s="17"/>
      <c r="AM148" s="17"/>
    </row>
    <row r="149" spans="2:39" s="2" customFormat="1" ht="29">
      <c r="B149" s="2">
        <v>103</v>
      </c>
      <c r="D149" s="37"/>
      <c r="E149" s="2" t="s">
        <v>352</v>
      </c>
      <c r="K149" s="223" t="s">
        <v>3118</v>
      </c>
      <c r="L149" s="213"/>
      <c r="M149" s="213"/>
      <c r="T149" s="166"/>
      <c r="U149" s="166"/>
      <c r="V149" s="166"/>
      <c r="W149" s="166"/>
      <c r="X149" s="166"/>
      <c r="Y149" s="166"/>
      <c r="Z149" s="170"/>
      <c r="AA149" s="166"/>
      <c r="AB149" s="171"/>
      <c r="AC149" s="166"/>
      <c r="AD149" s="166"/>
      <c r="AE149" s="166"/>
      <c r="AF149" s="166"/>
      <c r="AG149" s="166"/>
      <c r="AH149" s="166"/>
      <c r="AI149" s="166"/>
      <c r="AJ149" s="17"/>
      <c r="AK149" s="17"/>
      <c r="AL149" s="17"/>
      <c r="AM149" s="17"/>
    </row>
    <row r="150" spans="2:39" s="2" customFormat="1" ht="43.5">
      <c r="B150" s="2">
        <v>104</v>
      </c>
      <c r="D150" s="37"/>
      <c r="E150" s="2" t="s">
        <v>1408</v>
      </c>
      <c r="F150" s="2" t="s">
        <v>1409</v>
      </c>
      <c r="K150" s="213"/>
      <c r="L150" s="213"/>
      <c r="M150" s="213"/>
      <c r="T150" s="166" t="s">
        <v>376</v>
      </c>
      <c r="U150" s="166"/>
      <c r="V150" s="166" t="s">
        <v>1412</v>
      </c>
      <c r="W150" s="172" t="s">
        <v>1110</v>
      </c>
      <c r="X150" s="172" t="s">
        <v>1111</v>
      </c>
      <c r="Y150" s="172">
        <v>0</v>
      </c>
      <c r="Z150" s="168" t="s">
        <v>22</v>
      </c>
      <c r="AA150" s="166" t="s">
        <v>1410</v>
      </c>
      <c r="AB150" s="169" t="s">
        <v>1411</v>
      </c>
      <c r="AC150" s="166"/>
      <c r="AD150" s="166"/>
      <c r="AE150" s="166"/>
      <c r="AF150" s="166"/>
      <c r="AG150" s="166"/>
      <c r="AH150" s="166"/>
      <c r="AI150" s="166"/>
      <c r="AJ150" s="17"/>
      <c r="AK150" s="17"/>
      <c r="AL150" s="17"/>
      <c r="AM150" s="17"/>
    </row>
    <row r="151" spans="2:39" s="2" customFormat="1" ht="43.5">
      <c r="B151" s="2">
        <v>105</v>
      </c>
      <c r="D151" s="37"/>
      <c r="E151" s="2" t="s">
        <v>2540</v>
      </c>
      <c r="I151" s="2" t="s">
        <v>376</v>
      </c>
      <c r="K151" s="213" t="s">
        <v>2541</v>
      </c>
      <c r="L151" s="209" t="s">
        <v>2321</v>
      </c>
      <c r="M151" s="218" t="s">
        <v>2322</v>
      </c>
      <c r="N151" s="213" t="s">
        <v>2323</v>
      </c>
      <c r="O151" s="216" t="s">
        <v>22</v>
      </c>
      <c r="P151" s="215" t="s">
        <v>767</v>
      </c>
      <c r="Q151" s="219" t="s">
        <v>2542</v>
      </c>
      <c r="T151" s="166"/>
      <c r="U151" s="166"/>
      <c r="V151" s="166"/>
      <c r="W151" s="172"/>
      <c r="X151" s="172"/>
      <c r="Y151" s="172"/>
      <c r="Z151" s="168"/>
      <c r="AA151" s="166"/>
      <c r="AB151" s="169"/>
      <c r="AC151" s="166"/>
      <c r="AD151" s="166"/>
      <c r="AE151" s="166"/>
      <c r="AF151" s="166"/>
      <c r="AG151" s="166"/>
      <c r="AH151" s="166"/>
      <c r="AI151" s="166"/>
      <c r="AJ151" s="17"/>
      <c r="AK151" s="17"/>
      <c r="AL151" s="17"/>
      <c r="AM151" s="17"/>
    </row>
    <row r="152" spans="2:39" s="2" customFormat="1" ht="43.5">
      <c r="B152" s="2">
        <v>106</v>
      </c>
      <c r="D152" s="37" t="s">
        <v>304</v>
      </c>
      <c r="E152" s="2" t="s">
        <v>305</v>
      </c>
      <c r="F152" s="2" t="s">
        <v>18</v>
      </c>
      <c r="K152" s="213"/>
      <c r="L152" s="213"/>
      <c r="M152" s="213"/>
      <c r="T152" s="166" t="s">
        <v>376</v>
      </c>
      <c r="U152" s="166"/>
      <c r="V152" s="166" t="s">
        <v>847</v>
      </c>
      <c r="W152" s="167" t="s">
        <v>823</v>
      </c>
      <c r="X152" s="167" t="s">
        <v>664</v>
      </c>
      <c r="Y152" s="167">
        <v>0</v>
      </c>
      <c r="Z152" s="168" t="s">
        <v>22</v>
      </c>
      <c r="AA152" s="167" t="s">
        <v>848</v>
      </c>
      <c r="AB152" s="167" t="s">
        <v>849</v>
      </c>
      <c r="AC152" s="166" t="s">
        <v>1422</v>
      </c>
      <c r="AD152" s="166"/>
      <c r="AE152" s="166"/>
      <c r="AF152" s="166"/>
      <c r="AG152" s="166"/>
      <c r="AH152" s="166"/>
      <c r="AI152" s="166"/>
      <c r="AJ152" s="17"/>
      <c r="AK152" s="17"/>
      <c r="AL152" s="17"/>
      <c r="AM152" s="17"/>
    </row>
    <row r="153" spans="2:39" s="2" customFormat="1" ht="161.15" customHeight="1">
      <c r="B153" s="2">
        <v>107</v>
      </c>
      <c r="D153" s="37"/>
      <c r="E153" s="2" t="s">
        <v>284</v>
      </c>
      <c r="K153" s="213"/>
      <c r="L153" s="213"/>
      <c r="M153" s="213"/>
      <c r="T153" s="166" t="s">
        <v>376</v>
      </c>
      <c r="U153" s="166"/>
      <c r="V153" s="166" t="s">
        <v>1959</v>
      </c>
      <c r="W153" s="172" t="s">
        <v>1080</v>
      </c>
      <c r="X153" s="172" t="s">
        <v>1081</v>
      </c>
      <c r="Y153" s="172">
        <v>0</v>
      </c>
      <c r="Z153" s="168" t="s">
        <v>22</v>
      </c>
      <c r="AA153" s="167" t="s">
        <v>759</v>
      </c>
      <c r="AB153" s="167" t="s">
        <v>1107</v>
      </c>
      <c r="AC153" s="166"/>
      <c r="AD153" s="166"/>
      <c r="AE153" s="166"/>
      <c r="AF153" s="172" t="s">
        <v>2315</v>
      </c>
      <c r="AG153" s="166"/>
      <c r="AH153" s="166"/>
      <c r="AI153" s="166"/>
      <c r="AJ153" s="17"/>
      <c r="AK153" s="17"/>
      <c r="AL153" s="17"/>
      <c r="AM153" s="17"/>
    </row>
    <row r="154" spans="2:39" s="2" customFormat="1">
      <c r="B154" s="2">
        <v>108</v>
      </c>
      <c r="D154" s="37" t="s">
        <v>84</v>
      </c>
      <c r="E154" s="2" t="s">
        <v>85</v>
      </c>
      <c r="F154" s="2" t="s">
        <v>86</v>
      </c>
      <c r="L154" s="213"/>
      <c r="M154" s="213"/>
      <c r="T154" s="166" t="s">
        <v>376</v>
      </c>
      <c r="U154" s="166"/>
      <c r="V154" s="166" t="s">
        <v>829</v>
      </c>
      <c r="W154" s="167" t="s">
        <v>823</v>
      </c>
      <c r="X154" s="167" t="s">
        <v>664</v>
      </c>
      <c r="Y154" s="167">
        <v>0</v>
      </c>
      <c r="Z154" s="168" t="s">
        <v>22</v>
      </c>
      <c r="AA154" s="167" t="s">
        <v>828</v>
      </c>
      <c r="AB154" s="167" t="s">
        <v>830</v>
      </c>
      <c r="AC154" s="166" t="s">
        <v>1088</v>
      </c>
      <c r="AD154" s="166"/>
      <c r="AE154" s="166"/>
      <c r="AF154" s="166"/>
      <c r="AG154" s="166"/>
      <c r="AH154" s="166"/>
      <c r="AI154" s="166"/>
      <c r="AJ154" s="17"/>
      <c r="AK154" s="17"/>
      <c r="AL154" s="17"/>
      <c r="AM154" s="17"/>
    </row>
    <row r="155" spans="2:39" s="2" customFormat="1">
      <c r="B155" s="2">
        <v>109</v>
      </c>
      <c r="D155" s="37"/>
      <c r="E155" s="2" t="s">
        <v>1090</v>
      </c>
      <c r="K155" s="213"/>
      <c r="L155" s="213"/>
      <c r="M155" s="213"/>
      <c r="T155" s="166" t="s">
        <v>376</v>
      </c>
      <c r="U155" s="166"/>
      <c r="V155" s="166" t="s">
        <v>1089</v>
      </c>
      <c r="W155" s="177" t="s">
        <v>1080</v>
      </c>
      <c r="X155" s="177" t="s">
        <v>1081</v>
      </c>
      <c r="Y155" s="177">
        <v>0</v>
      </c>
      <c r="Z155" s="168" t="s">
        <v>22</v>
      </c>
      <c r="AA155" s="167" t="s">
        <v>1091</v>
      </c>
      <c r="AB155" s="167" t="s">
        <v>1092</v>
      </c>
      <c r="AC155" s="166"/>
      <c r="AD155" s="166"/>
      <c r="AE155" s="166"/>
      <c r="AF155" s="166"/>
      <c r="AG155" s="166"/>
      <c r="AH155" s="166"/>
      <c r="AI155" s="166"/>
      <c r="AJ155" s="17"/>
      <c r="AK155" s="17"/>
      <c r="AL155" s="17"/>
      <c r="AM155" s="17"/>
    </row>
    <row r="156" spans="2:39" s="2" customFormat="1" ht="200.15" customHeight="1">
      <c r="B156" s="2">
        <v>110</v>
      </c>
      <c r="D156" s="37"/>
      <c r="E156" s="2" t="s">
        <v>340</v>
      </c>
      <c r="F156" s="2" t="s">
        <v>87</v>
      </c>
      <c r="G156" s="2" t="s">
        <v>850</v>
      </c>
      <c r="I156" s="2" t="s">
        <v>376</v>
      </c>
      <c r="K156" s="213" t="s">
        <v>2539</v>
      </c>
      <c r="L156" s="209" t="s">
        <v>2321</v>
      </c>
      <c r="M156" s="218" t="s">
        <v>2322</v>
      </c>
      <c r="N156" s="213" t="s">
        <v>2323</v>
      </c>
      <c r="O156" s="216" t="s">
        <v>22</v>
      </c>
      <c r="P156" s="215" t="s">
        <v>942</v>
      </c>
      <c r="Q156" s="219" t="s">
        <v>2536</v>
      </c>
      <c r="S156" s="17" t="s">
        <v>3056</v>
      </c>
      <c r="T156" s="166" t="s">
        <v>376</v>
      </c>
      <c r="U156" s="166"/>
      <c r="V156" s="166" t="s">
        <v>851</v>
      </c>
      <c r="W156" s="167" t="s">
        <v>823</v>
      </c>
      <c r="X156" s="167" t="s">
        <v>664</v>
      </c>
      <c r="Y156" s="167">
        <v>0</v>
      </c>
      <c r="Z156" s="168" t="s">
        <v>22</v>
      </c>
      <c r="AA156" s="167" t="s">
        <v>430</v>
      </c>
      <c r="AB156" s="167" t="s">
        <v>849</v>
      </c>
      <c r="AC156" s="166"/>
      <c r="AD156" s="166"/>
      <c r="AE156" s="166"/>
      <c r="AF156" s="166"/>
      <c r="AG156" s="166"/>
      <c r="AH156" s="166"/>
      <c r="AI156" s="166"/>
      <c r="AJ156" s="17"/>
      <c r="AK156" s="17"/>
      <c r="AL156" s="17"/>
      <c r="AM156" s="17"/>
    </row>
    <row r="157" spans="2:39" s="2" customFormat="1" ht="74.5">
      <c r="B157" s="2">
        <v>111</v>
      </c>
      <c r="D157" s="37"/>
      <c r="E157" s="2" t="s">
        <v>852</v>
      </c>
      <c r="I157" s="18" t="s">
        <v>376</v>
      </c>
      <c r="K157" s="213" t="s">
        <v>2915</v>
      </c>
      <c r="L157" s="209" t="s">
        <v>2784</v>
      </c>
      <c r="M157" s="239" t="s">
        <v>1598</v>
      </c>
      <c r="N157" s="217"/>
      <c r="O157" s="216" t="s">
        <v>22</v>
      </c>
      <c r="P157" s="215" t="s">
        <v>2906</v>
      </c>
      <c r="Q157" s="215" t="s">
        <v>2914</v>
      </c>
      <c r="S157" s="17" t="s">
        <v>3057</v>
      </c>
      <c r="T157" s="166" t="s">
        <v>376</v>
      </c>
      <c r="U157" s="166"/>
      <c r="V157" s="166" t="s">
        <v>853</v>
      </c>
      <c r="W157" s="167" t="s">
        <v>823</v>
      </c>
      <c r="X157" s="167" t="s">
        <v>664</v>
      </c>
      <c r="Y157" s="167">
        <v>0</v>
      </c>
      <c r="Z157" s="168" t="s">
        <v>22</v>
      </c>
      <c r="AA157" s="167" t="s">
        <v>430</v>
      </c>
      <c r="AB157" s="167" t="s">
        <v>849</v>
      </c>
      <c r="AC157" s="166"/>
      <c r="AD157" s="166"/>
      <c r="AE157" s="166"/>
      <c r="AF157" s="166"/>
      <c r="AG157" s="166"/>
      <c r="AH157" s="166"/>
      <c r="AI157" s="166"/>
      <c r="AJ157" s="17"/>
      <c r="AK157" s="17"/>
      <c r="AL157" s="17"/>
      <c r="AM157" s="17"/>
    </row>
    <row r="158" spans="2:39" s="2" customFormat="1" ht="101.5">
      <c r="B158" s="2">
        <v>112</v>
      </c>
      <c r="D158" s="37"/>
      <c r="E158" s="2" t="s">
        <v>852</v>
      </c>
      <c r="F158" s="2" t="s">
        <v>1417</v>
      </c>
      <c r="K158" s="213"/>
      <c r="L158" s="213"/>
      <c r="M158" s="213"/>
      <c r="T158" s="166" t="s">
        <v>376</v>
      </c>
      <c r="U158" s="166"/>
      <c r="V158" s="166" t="s">
        <v>1418</v>
      </c>
      <c r="W158" s="172" t="s">
        <v>1110</v>
      </c>
      <c r="X158" s="172" t="s">
        <v>1111</v>
      </c>
      <c r="Y158" s="172">
        <v>0</v>
      </c>
      <c r="Z158" s="168" t="s">
        <v>22</v>
      </c>
      <c r="AA158" s="166" t="s">
        <v>1419</v>
      </c>
      <c r="AB158" s="169" t="s">
        <v>1414</v>
      </c>
      <c r="AC158" s="166"/>
      <c r="AD158" s="166"/>
      <c r="AE158" s="166"/>
      <c r="AF158" s="166"/>
      <c r="AG158" s="166"/>
      <c r="AH158" s="166"/>
      <c r="AI158" s="166"/>
      <c r="AJ158" s="17"/>
      <c r="AK158" s="17"/>
      <c r="AL158" s="17"/>
      <c r="AM158" s="17"/>
    </row>
    <row r="159" spans="2:39" s="2" customFormat="1" ht="43.5">
      <c r="B159" s="2">
        <v>113</v>
      </c>
      <c r="D159" s="37"/>
      <c r="E159" s="2" t="s">
        <v>88</v>
      </c>
      <c r="F159" s="2" t="s">
        <v>1084</v>
      </c>
      <c r="K159" s="213"/>
      <c r="L159" s="213"/>
      <c r="M159" s="213"/>
      <c r="T159" s="166" t="s">
        <v>376</v>
      </c>
      <c r="U159" s="166"/>
      <c r="V159" s="166" t="s">
        <v>1416</v>
      </c>
      <c r="W159" s="177" t="s">
        <v>1080</v>
      </c>
      <c r="X159" s="177" t="s">
        <v>1081</v>
      </c>
      <c r="Y159" s="177">
        <v>0</v>
      </c>
      <c r="Z159" s="168" t="s">
        <v>22</v>
      </c>
      <c r="AA159" s="167" t="s">
        <v>1082</v>
      </c>
      <c r="AB159" s="167" t="s">
        <v>1083</v>
      </c>
      <c r="AC159" s="166"/>
      <c r="AD159" s="166"/>
      <c r="AE159" s="166"/>
      <c r="AF159" s="166"/>
      <c r="AG159" s="166"/>
      <c r="AH159" s="166"/>
      <c r="AI159" s="166"/>
      <c r="AJ159" s="17"/>
      <c r="AK159" s="17"/>
      <c r="AL159" s="17"/>
      <c r="AM159" s="17"/>
    </row>
    <row r="160" spans="2:39" s="2" customFormat="1">
      <c r="B160" s="2">
        <v>114</v>
      </c>
      <c r="D160" s="37"/>
      <c r="F160" s="2" t="s">
        <v>90</v>
      </c>
      <c r="K160" s="213"/>
      <c r="L160" s="213"/>
      <c r="M160" s="213"/>
      <c r="T160" s="166"/>
      <c r="U160" s="166"/>
      <c r="V160" s="166"/>
      <c r="W160" s="166"/>
      <c r="X160" s="166"/>
      <c r="Y160" s="166"/>
      <c r="Z160" s="170"/>
      <c r="AA160" s="166"/>
      <c r="AB160" s="171"/>
      <c r="AC160" s="166"/>
      <c r="AD160" s="166"/>
      <c r="AE160" s="166"/>
      <c r="AF160" s="166"/>
      <c r="AG160" s="166"/>
      <c r="AH160" s="166"/>
      <c r="AI160" s="166"/>
      <c r="AJ160" s="17"/>
      <c r="AK160" s="17"/>
      <c r="AL160" s="17"/>
      <c r="AM160" s="17"/>
    </row>
    <row r="161" spans="2:39" s="2" customFormat="1" ht="29">
      <c r="B161" s="2">
        <v>115</v>
      </c>
      <c r="D161" s="37"/>
      <c r="F161" s="2" t="s">
        <v>330</v>
      </c>
      <c r="G161" s="2" t="s">
        <v>1360</v>
      </c>
      <c r="K161" s="213"/>
      <c r="L161" s="213"/>
      <c r="M161" s="213"/>
      <c r="T161" s="166" t="s">
        <v>376</v>
      </c>
      <c r="U161" s="166"/>
      <c r="V161" s="166" t="s">
        <v>1359</v>
      </c>
      <c r="W161" s="172" t="s">
        <v>1110</v>
      </c>
      <c r="X161" s="172" t="s">
        <v>1111</v>
      </c>
      <c r="Y161" s="172">
        <v>0</v>
      </c>
      <c r="Z161" s="168" t="s">
        <v>22</v>
      </c>
      <c r="AA161" s="166" t="s">
        <v>1363</v>
      </c>
      <c r="AB161" s="169" t="s">
        <v>1362</v>
      </c>
      <c r="AC161" s="166"/>
      <c r="AD161" s="166"/>
      <c r="AE161" s="166"/>
      <c r="AF161" s="166"/>
      <c r="AG161" s="166"/>
      <c r="AH161" s="166"/>
      <c r="AI161" s="166"/>
      <c r="AJ161" s="17"/>
      <c r="AK161" s="17" t="s">
        <v>1832</v>
      </c>
      <c r="AL161" s="17"/>
      <c r="AM161" s="17"/>
    </row>
    <row r="162" spans="2:39" s="2" customFormat="1" ht="72.5">
      <c r="B162" s="2">
        <v>116</v>
      </c>
      <c r="D162" s="37"/>
      <c r="F162" s="2" t="s">
        <v>330</v>
      </c>
      <c r="G162" s="2" t="s">
        <v>1381</v>
      </c>
      <c r="K162" s="213"/>
      <c r="L162" s="213"/>
      <c r="M162" s="213"/>
      <c r="T162" s="166" t="s">
        <v>376</v>
      </c>
      <c r="U162" s="166"/>
      <c r="V162" s="166" t="s">
        <v>1382</v>
      </c>
      <c r="W162" s="172" t="s">
        <v>1110</v>
      </c>
      <c r="X162" s="172" t="s">
        <v>1111</v>
      </c>
      <c r="Y162" s="172">
        <v>0</v>
      </c>
      <c r="Z162" s="168" t="s">
        <v>22</v>
      </c>
      <c r="AA162" s="166" t="s">
        <v>1383</v>
      </c>
      <c r="AB162" s="169" t="s">
        <v>1380</v>
      </c>
      <c r="AC162" s="166"/>
      <c r="AD162" s="166"/>
      <c r="AE162" s="166"/>
      <c r="AF162" s="166"/>
      <c r="AG162" s="166"/>
      <c r="AH162" s="166"/>
      <c r="AI162" s="166"/>
      <c r="AJ162" s="17"/>
      <c r="AK162" s="17"/>
      <c r="AL162" s="17"/>
      <c r="AM162" s="17"/>
    </row>
    <row r="163" spans="2:39" s="2" customFormat="1" ht="29">
      <c r="B163" s="2">
        <v>117</v>
      </c>
      <c r="D163" s="37"/>
      <c r="F163" s="17" t="s">
        <v>91</v>
      </c>
      <c r="K163" s="213"/>
      <c r="L163" s="213"/>
      <c r="M163" s="213"/>
      <c r="T163" s="166"/>
      <c r="U163" s="166"/>
      <c r="V163" s="166"/>
      <c r="W163" s="166"/>
      <c r="X163" s="166"/>
      <c r="Y163" s="166"/>
      <c r="Z163" s="166"/>
      <c r="AA163" s="166"/>
      <c r="AB163" s="166"/>
      <c r="AC163" s="166"/>
      <c r="AD163" s="166"/>
      <c r="AE163" s="166"/>
      <c r="AF163" s="166"/>
      <c r="AG163" s="166"/>
      <c r="AH163" s="166"/>
      <c r="AI163" s="166"/>
      <c r="AJ163" s="17"/>
      <c r="AK163" s="17"/>
      <c r="AL163" s="17"/>
      <c r="AM163" s="17"/>
    </row>
    <row r="164" spans="2:39" s="2" customFormat="1">
      <c r="B164" s="2">
        <v>118</v>
      </c>
      <c r="D164" s="37" t="s">
        <v>92</v>
      </c>
      <c r="E164" s="2" t="s">
        <v>93</v>
      </c>
      <c r="F164" s="2" t="s">
        <v>883</v>
      </c>
      <c r="K164" s="213"/>
      <c r="L164" s="213"/>
      <c r="M164" s="213"/>
      <c r="T164" s="166"/>
      <c r="U164" s="166"/>
      <c r="V164" s="166"/>
      <c r="W164" s="173"/>
      <c r="X164" s="174"/>
      <c r="Y164" s="174"/>
      <c r="Z164" s="181"/>
      <c r="AA164" s="166"/>
      <c r="AB164" s="166"/>
      <c r="AC164" s="166" t="s">
        <v>1351</v>
      </c>
      <c r="AD164" s="166"/>
      <c r="AE164" s="166"/>
      <c r="AF164" s="166"/>
      <c r="AG164" s="166"/>
      <c r="AH164" s="166"/>
      <c r="AI164" s="166"/>
      <c r="AJ164" s="17"/>
      <c r="AK164" s="17"/>
      <c r="AL164" s="17"/>
      <c r="AM164" s="17"/>
    </row>
    <row r="165" spans="2:39" s="2" customFormat="1" ht="29">
      <c r="B165" s="2">
        <v>119</v>
      </c>
      <c r="D165" s="37"/>
      <c r="E165" s="2" t="s">
        <v>891</v>
      </c>
      <c r="K165" s="213"/>
      <c r="L165" s="213"/>
      <c r="M165" s="213"/>
      <c r="T165" s="166" t="s">
        <v>376</v>
      </c>
      <c r="U165" s="166"/>
      <c r="V165" s="166" t="s">
        <v>892</v>
      </c>
      <c r="W165" s="167" t="s">
        <v>823</v>
      </c>
      <c r="X165" s="167" t="s">
        <v>664</v>
      </c>
      <c r="Y165" s="167">
        <v>0</v>
      </c>
      <c r="Z165" s="168" t="s">
        <v>22</v>
      </c>
      <c r="AA165" s="167" t="s">
        <v>689</v>
      </c>
      <c r="AB165" s="167" t="s">
        <v>893</v>
      </c>
      <c r="AC165" s="166"/>
      <c r="AD165" s="166"/>
      <c r="AE165" s="166"/>
      <c r="AF165" s="166"/>
      <c r="AG165" s="166"/>
      <c r="AH165" s="166"/>
      <c r="AI165" s="166"/>
      <c r="AJ165" s="17"/>
      <c r="AK165" s="17"/>
      <c r="AL165" s="17"/>
      <c r="AM165" s="17"/>
    </row>
    <row r="166" spans="2:39" s="2" customFormat="1">
      <c r="B166" s="2">
        <v>120</v>
      </c>
      <c r="D166" s="37"/>
      <c r="E166" s="2" t="s">
        <v>94</v>
      </c>
      <c r="F166" s="2" t="s">
        <v>882</v>
      </c>
      <c r="K166" s="213"/>
      <c r="L166" s="213"/>
      <c r="M166" s="213"/>
      <c r="T166" s="166"/>
      <c r="U166" s="166"/>
      <c r="V166" s="166"/>
      <c r="W166" s="166"/>
      <c r="X166" s="166"/>
      <c r="Y166" s="166"/>
      <c r="Z166" s="181"/>
      <c r="AA166" s="166"/>
      <c r="AB166" s="166"/>
      <c r="AC166" s="166"/>
      <c r="AD166" s="166"/>
      <c r="AE166" s="166"/>
      <c r="AF166" s="166"/>
      <c r="AG166" s="166"/>
      <c r="AH166" s="166"/>
      <c r="AI166" s="166"/>
      <c r="AJ166" s="17"/>
      <c r="AK166" s="17"/>
      <c r="AL166" s="17"/>
      <c r="AM166" s="17"/>
    </row>
    <row r="167" spans="2:39" s="2" customFormat="1" ht="43.5">
      <c r="B167" s="2">
        <v>121</v>
      </c>
      <c r="D167" s="37"/>
      <c r="E167" s="2" t="s">
        <v>864</v>
      </c>
      <c r="G167" s="2" t="s">
        <v>95</v>
      </c>
      <c r="K167" s="213"/>
      <c r="L167" s="213"/>
      <c r="M167" s="213"/>
      <c r="T167" s="166" t="s">
        <v>376</v>
      </c>
      <c r="U167" s="166"/>
      <c r="V167" s="166" t="s">
        <v>865</v>
      </c>
      <c r="W167" s="167" t="s">
        <v>823</v>
      </c>
      <c r="X167" s="167" t="s">
        <v>664</v>
      </c>
      <c r="Y167" s="167">
        <v>0</v>
      </c>
      <c r="Z167" s="168" t="s">
        <v>22</v>
      </c>
      <c r="AA167" s="167" t="s">
        <v>680</v>
      </c>
      <c r="AB167" s="167" t="s">
        <v>862</v>
      </c>
      <c r="AC167" s="166"/>
      <c r="AD167" s="166"/>
      <c r="AE167" s="166"/>
      <c r="AF167" s="166"/>
      <c r="AG167" s="166"/>
      <c r="AH167" s="166"/>
      <c r="AI167" s="166"/>
      <c r="AJ167" s="17"/>
      <c r="AK167" s="17"/>
      <c r="AL167" s="17" t="s">
        <v>605</v>
      </c>
      <c r="AM167" s="17"/>
    </row>
    <row r="168" spans="2:39" s="2" customFormat="1" ht="43.5">
      <c r="B168" s="2">
        <v>122</v>
      </c>
      <c r="D168" s="37"/>
      <c r="E168" s="2" t="s">
        <v>887</v>
      </c>
      <c r="I168" s="2" t="s">
        <v>376</v>
      </c>
      <c r="K168" s="213" t="s">
        <v>3058</v>
      </c>
      <c r="L168" s="209" t="s">
        <v>2318</v>
      </c>
      <c r="M168" s="217" t="s">
        <v>2324</v>
      </c>
      <c r="N168" s="217" t="s">
        <v>2325</v>
      </c>
      <c r="O168" s="216" t="s">
        <v>22</v>
      </c>
      <c r="P168" s="215" t="s">
        <v>2688</v>
      </c>
      <c r="Q168" s="215" t="s">
        <v>2686</v>
      </c>
      <c r="S168" s="17" t="s">
        <v>3056</v>
      </c>
      <c r="T168" s="166" t="s">
        <v>376</v>
      </c>
      <c r="U168" s="166"/>
      <c r="V168" s="166" t="s">
        <v>888</v>
      </c>
      <c r="W168" s="167" t="s">
        <v>823</v>
      </c>
      <c r="X168" s="167" t="s">
        <v>664</v>
      </c>
      <c r="Y168" s="167">
        <v>0</v>
      </c>
      <c r="Z168" s="168" t="s">
        <v>22</v>
      </c>
      <c r="AA168" s="167" t="s">
        <v>689</v>
      </c>
      <c r="AB168" s="167" t="s">
        <v>885</v>
      </c>
      <c r="AC168" s="166"/>
      <c r="AD168" s="166"/>
      <c r="AE168" s="166"/>
      <c r="AF168" s="166"/>
      <c r="AG168" s="166"/>
      <c r="AH168" s="166"/>
      <c r="AI168" s="166"/>
      <c r="AJ168" s="17"/>
      <c r="AK168" s="17"/>
      <c r="AL168" s="17" t="s">
        <v>605</v>
      </c>
      <c r="AM168" s="17"/>
    </row>
    <row r="169" spans="2:39" s="2" customFormat="1" ht="176.15" customHeight="1">
      <c r="B169" s="2">
        <v>123</v>
      </c>
      <c r="D169" s="37"/>
      <c r="E169" s="2" t="s">
        <v>1389</v>
      </c>
      <c r="F169" s="2" t="s">
        <v>1809</v>
      </c>
      <c r="I169" s="2" t="s">
        <v>376</v>
      </c>
      <c r="K169" s="213" t="s">
        <v>2689</v>
      </c>
      <c r="L169" s="209" t="s">
        <v>2318</v>
      </c>
      <c r="M169" s="217" t="s">
        <v>2324</v>
      </c>
      <c r="N169" s="217" t="s">
        <v>2325</v>
      </c>
      <c r="O169" s="216" t="s">
        <v>22</v>
      </c>
      <c r="P169" s="215" t="s">
        <v>2688</v>
      </c>
      <c r="Q169" s="215" t="s">
        <v>2686</v>
      </c>
      <c r="R169" s="2" t="s">
        <v>2687</v>
      </c>
      <c r="S169" s="17" t="s">
        <v>3056</v>
      </c>
      <c r="T169" s="166" t="s">
        <v>376</v>
      </c>
      <c r="U169" s="166"/>
      <c r="V169" s="166" t="s">
        <v>1390</v>
      </c>
      <c r="W169" s="172" t="s">
        <v>1110</v>
      </c>
      <c r="X169" s="172" t="s">
        <v>1111</v>
      </c>
      <c r="Y169" s="172">
        <v>0</v>
      </c>
      <c r="Z169" s="168" t="s">
        <v>22</v>
      </c>
      <c r="AA169" s="166" t="s">
        <v>1391</v>
      </c>
      <c r="AB169" s="169" t="s">
        <v>1388</v>
      </c>
      <c r="AC169" s="166"/>
      <c r="AD169" s="166"/>
      <c r="AE169" s="166"/>
      <c r="AF169" s="166"/>
      <c r="AG169" s="166"/>
      <c r="AH169" s="166"/>
      <c r="AI169" s="166"/>
      <c r="AJ169" s="17"/>
      <c r="AK169" s="17" t="s">
        <v>605</v>
      </c>
      <c r="AL169" s="17" t="s">
        <v>605</v>
      </c>
      <c r="AM169" s="17"/>
    </row>
    <row r="170" spans="2:39" s="2" customFormat="1" ht="176.15" customHeight="1">
      <c r="B170" s="2">
        <v>124</v>
      </c>
      <c r="D170" s="37"/>
      <c r="F170" s="2" t="s">
        <v>2690</v>
      </c>
      <c r="I170" s="2" t="s">
        <v>376</v>
      </c>
      <c r="K170" s="213" t="s">
        <v>3059</v>
      </c>
      <c r="L170" s="209" t="s">
        <v>2318</v>
      </c>
      <c r="M170" s="217" t="s">
        <v>2324</v>
      </c>
      <c r="N170" s="217" t="s">
        <v>2325</v>
      </c>
      <c r="O170" s="216" t="s">
        <v>22</v>
      </c>
      <c r="P170" s="215" t="s">
        <v>2688</v>
      </c>
      <c r="Q170" s="215" t="s">
        <v>2686</v>
      </c>
      <c r="S170" s="17" t="s">
        <v>3056</v>
      </c>
      <c r="T170" s="166"/>
      <c r="U170" s="166"/>
      <c r="V170" s="166"/>
      <c r="W170" s="172"/>
      <c r="X170" s="172"/>
      <c r="Y170" s="172"/>
      <c r="Z170" s="168"/>
      <c r="AA170" s="166"/>
      <c r="AB170" s="169"/>
      <c r="AC170" s="166"/>
      <c r="AD170" s="166"/>
      <c r="AE170" s="166"/>
      <c r="AF170" s="166"/>
      <c r="AG170" s="166"/>
      <c r="AH170" s="166"/>
      <c r="AI170" s="166"/>
      <c r="AJ170" s="17"/>
      <c r="AK170" s="17"/>
      <c r="AL170" s="17"/>
      <c r="AM170" s="17"/>
    </row>
    <row r="171" spans="2:39" s="2" customFormat="1" ht="97.5" customHeight="1">
      <c r="B171" s="2">
        <v>125</v>
      </c>
      <c r="D171" s="37"/>
      <c r="E171" s="2" t="s">
        <v>383</v>
      </c>
      <c r="F171" s="2" t="s">
        <v>384</v>
      </c>
      <c r="I171" s="2" t="s">
        <v>376</v>
      </c>
      <c r="K171" s="213" t="s">
        <v>2666</v>
      </c>
      <c r="L171" s="209" t="s">
        <v>2318</v>
      </c>
      <c r="M171" s="217" t="s">
        <v>2324</v>
      </c>
      <c r="N171" s="217" t="s">
        <v>2325</v>
      </c>
      <c r="O171" s="216" t="s">
        <v>22</v>
      </c>
      <c r="P171" s="215" t="s">
        <v>539</v>
      </c>
      <c r="Q171" s="215" t="s">
        <v>2665</v>
      </c>
      <c r="T171" s="166" t="s">
        <v>376</v>
      </c>
      <c r="U171" s="166"/>
      <c r="V171" s="166" t="s">
        <v>884</v>
      </c>
      <c r="W171" s="167" t="s">
        <v>823</v>
      </c>
      <c r="X171" s="167" t="s">
        <v>664</v>
      </c>
      <c r="Y171" s="167">
        <v>0</v>
      </c>
      <c r="Z171" s="168" t="s">
        <v>22</v>
      </c>
      <c r="AA171" s="167" t="s">
        <v>689</v>
      </c>
      <c r="AB171" s="167" t="s">
        <v>885</v>
      </c>
      <c r="AC171" s="166"/>
      <c r="AD171" s="166"/>
      <c r="AE171" s="166"/>
      <c r="AF171" s="166"/>
      <c r="AG171" s="166"/>
      <c r="AH171" s="166"/>
      <c r="AI171" s="166"/>
      <c r="AJ171" s="17"/>
      <c r="AK171" s="17" t="s">
        <v>1832</v>
      </c>
      <c r="AL171" s="17" t="s">
        <v>605</v>
      </c>
      <c r="AM171" s="17"/>
    </row>
    <row r="172" spans="2:39" s="2" customFormat="1" ht="101.5">
      <c r="B172" s="2">
        <v>126</v>
      </c>
      <c r="D172" s="37"/>
      <c r="E172" s="2" t="s">
        <v>385</v>
      </c>
      <c r="F172" s="2" t="s">
        <v>386</v>
      </c>
      <c r="I172" s="2" t="s">
        <v>376</v>
      </c>
      <c r="K172" s="213" t="s">
        <v>2663</v>
      </c>
      <c r="L172" s="209" t="s">
        <v>2318</v>
      </c>
      <c r="M172" s="217" t="s">
        <v>2324</v>
      </c>
      <c r="N172" s="217" t="s">
        <v>2325</v>
      </c>
      <c r="O172" s="216" t="s">
        <v>22</v>
      </c>
      <c r="P172" s="215" t="s">
        <v>539</v>
      </c>
      <c r="Q172" s="215" t="s">
        <v>2660</v>
      </c>
      <c r="S172" s="17"/>
      <c r="T172" s="166" t="s">
        <v>376</v>
      </c>
      <c r="U172" s="166"/>
      <c r="V172" s="166" t="s">
        <v>896</v>
      </c>
      <c r="W172" s="167" t="s">
        <v>823</v>
      </c>
      <c r="X172" s="167" t="s">
        <v>664</v>
      </c>
      <c r="Y172" s="167">
        <v>0</v>
      </c>
      <c r="Z172" s="168" t="s">
        <v>22</v>
      </c>
      <c r="AA172" s="167" t="s">
        <v>689</v>
      </c>
      <c r="AB172" s="167" t="s">
        <v>893</v>
      </c>
      <c r="AC172" s="166"/>
      <c r="AD172" s="166"/>
      <c r="AE172" s="166"/>
      <c r="AF172" s="166"/>
      <c r="AG172" s="166"/>
      <c r="AH172" s="166"/>
      <c r="AI172" s="166"/>
      <c r="AJ172" s="17"/>
      <c r="AK172" s="17" t="s">
        <v>605</v>
      </c>
      <c r="AL172" s="17" t="s">
        <v>605</v>
      </c>
      <c r="AM172" s="17"/>
    </row>
    <row r="173" spans="2:39" s="2" customFormat="1" ht="43.5">
      <c r="B173" s="2">
        <v>127</v>
      </c>
      <c r="D173" s="37"/>
      <c r="F173" s="2" t="s">
        <v>1952</v>
      </c>
      <c r="I173" s="2" t="s">
        <v>376</v>
      </c>
      <c r="K173" s="213" t="s">
        <v>2731</v>
      </c>
      <c r="L173" s="209" t="s">
        <v>2318</v>
      </c>
      <c r="M173" s="217" t="s">
        <v>2324</v>
      </c>
      <c r="N173" s="217" t="s">
        <v>2325</v>
      </c>
      <c r="O173" s="216" t="s">
        <v>22</v>
      </c>
      <c r="P173" s="215" t="s">
        <v>559</v>
      </c>
      <c r="Q173" s="215" t="s">
        <v>2732</v>
      </c>
      <c r="S173" s="17"/>
      <c r="T173" s="166"/>
      <c r="U173" s="166"/>
      <c r="V173" s="166"/>
      <c r="W173" s="167"/>
      <c r="X173" s="167"/>
      <c r="Y173" s="167"/>
      <c r="Z173" s="168"/>
      <c r="AA173" s="167"/>
      <c r="AB173" s="167"/>
      <c r="AC173" s="166"/>
      <c r="AD173" s="166"/>
      <c r="AE173" s="166"/>
      <c r="AF173" s="166"/>
      <c r="AG173" s="166"/>
      <c r="AH173" s="166"/>
      <c r="AI173" s="166"/>
      <c r="AJ173" s="17"/>
      <c r="AK173" s="17"/>
      <c r="AL173" s="17"/>
      <c r="AM173" s="17"/>
    </row>
    <row r="174" spans="2:39" s="2" customFormat="1" ht="101.5">
      <c r="B174" s="2">
        <v>128</v>
      </c>
      <c r="D174" s="37"/>
      <c r="E174" s="2" t="s">
        <v>889</v>
      </c>
      <c r="F174" s="2" t="s">
        <v>890</v>
      </c>
      <c r="I174" s="2" t="s">
        <v>376</v>
      </c>
      <c r="K174" s="213" t="s">
        <v>2662</v>
      </c>
      <c r="L174" s="209" t="s">
        <v>2318</v>
      </c>
      <c r="M174" s="217" t="s">
        <v>2324</v>
      </c>
      <c r="N174" s="217" t="s">
        <v>2325</v>
      </c>
      <c r="O174" s="216" t="s">
        <v>22</v>
      </c>
      <c r="P174" s="215" t="s">
        <v>539</v>
      </c>
      <c r="Q174" s="215" t="s">
        <v>2660</v>
      </c>
      <c r="S174" s="17"/>
      <c r="T174" s="166" t="s">
        <v>376</v>
      </c>
      <c r="U174" s="166"/>
      <c r="V174" s="166" t="s">
        <v>1953</v>
      </c>
      <c r="W174" s="167" t="s">
        <v>823</v>
      </c>
      <c r="X174" s="167" t="s">
        <v>664</v>
      </c>
      <c r="Y174" s="167">
        <v>0</v>
      </c>
      <c r="Z174" s="168" t="s">
        <v>22</v>
      </c>
      <c r="AA174" s="167" t="s">
        <v>689</v>
      </c>
      <c r="AB174" s="167" t="s">
        <v>885</v>
      </c>
      <c r="AC174" s="166"/>
      <c r="AD174" s="166"/>
      <c r="AE174" s="166"/>
      <c r="AF174" s="166"/>
      <c r="AG174" s="166"/>
      <c r="AH174" s="166"/>
      <c r="AI174" s="166"/>
      <c r="AJ174" s="17"/>
      <c r="AK174" s="17"/>
      <c r="AL174" s="17" t="s">
        <v>1963</v>
      </c>
      <c r="AM174" s="17"/>
    </row>
    <row r="175" spans="2:39" s="2" customFormat="1" ht="57" customHeight="1">
      <c r="B175" s="2">
        <v>129</v>
      </c>
      <c r="D175" s="37"/>
      <c r="E175" s="2" t="s">
        <v>894</v>
      </c>
      <c r="I175" s="2" t="s">
        <v>376</v>
      </c>
      <c r="K175" s="213" t="s">
        <v>2681</v>
      </c>
      <c r="L175" s="209" t="s">
        <v>2318</v>
      </c>
      <c r="M175" s="217" t="s">
        <v>2324</v>
      </c>
      <c r="N175" s="217" t="s">
        <v>2325</v>
      </c>
      <c r="O175" s="216" t="s">
        <v>22</v>
      </c>
      <c r="P175" s="215" t="s">
        <v>2682</v>
      </c>
      <c r="Q175" s="215" t="s">
        <v>2683</v>
      </c>
      <c r="S175" s="17" t="s">
        <v>894</v>
      </c>
      <c r="T175" s="166" t="s">
        <v>376</v>
      </c>
      <c r="U175" s="166"/>
      <c r="V175" s="166" t="s">
        <v>895</v>
      </c>
      <c r="W175" s="167" t="s">
        <v>823</v>
      </c>
      <c r="X175" s="167" t="s">
        <v>664</v>
      </c>
      <c r="Y175" s="167">
        <v>0</v>
      </c>
      <c r="Z175" s="168" t="s">
        <v>22</v>
      </c>
      <c r="AA175" s="167" t="s">
        <v>689</v>
      </c>
      <c r="AB175" s="167" t="s">
        <v>893</v>
      </c>
      <c r="AC175" s="166"/>
      <c r="AD175" s="166"/>
      <c r="AE175" s="166"/>
      <c r="AF175" s="166"/>
      <c r="AG175" s="166"/>
      <c r="AH175" s="166"/>
      <c r="AI175" s="166"/>
      <c r="AJ175" s="17"/>
      <c r="AK175" s="17"/>
      <c r="AL175" s="17" t="s">
        <v>605</v>
      </c>
      <c r="AM175" s="17"/>
    </row>
    <row r="176" spans="2:39" s="2" customFormat="1" ht="72.5">
      <c r="B176" s="2">
        <v>130</v>
      </c>
      <c r="D176" s="37"/>
      <c r="E176" s="2" t="s">
        <v>897</v>
      </c>
      <c r="I176" s="2" t="s">
        <v>376</v>
      </c>
      <c r="K176" s="213" t="s">
        <v>2667</v>
      </c>
      <c r="L176" s="209" t="s">
        <v>2318</v>
      </c>
      <c r="M176" s="217" t="s">
        <v>2324</v>
      </c>
      <c r="N176" s="217" t="s">
        <v>2325</v>
      </c>
      <c r="O176" s="216" t="s">
        <v>22</v>
      </c>
      <c r="P176" s="215" t="s">
        <v>539</v>
      </c>
      <c r="Q176" s="215" t="s">
        <v>2668</v>
      </c>
      <c r="S176" s="2" t="s">
        <v>3115</v>
      </c>
      <c r="T176" s="166" t="s">
        <v>376</v>
      </c>
      <c r="U176" s="166"/>
      <c r="V176" s="166" t="s">
        <v>898</v>
      </c>
      <c r="W176" s="167" t="s">
        <v>823</v>
      </c>
      <c r="X176" s="167" t="s">
        <v>664</v>
      </c>
      <c r="Y176" s="167">
        <v>0</v>
      </c>
      <c r="Z176" s="168" t="s">
        <v>22</v>
      </c>
      <c r="AA176" s="167" t="s">
        <v>689</v>
      </c>
      <c r="AB176" s="167" t="s">
        <v>893</v>
      </c>
      <c r="AC176" s="166"/>
      <c r="AD176" s="166"/>
      <c r="AE176" s="166"/>
      <c r="AF176" s="166"/>
      <c r="AG176" s="166"/>
      <c r="AH176" s="166"/>
      <c r="AI176" s="166"/>
      <c r="AJ176" s="17"/>
      <c r="AK176" s="17" t="s">
        <v>605</v>
      </c>
      <c r="AL176" s="17" t="s">
        <v>1963</v>
      </c>
      <c r="AM176" s="17"/>
    </row>
    <row r="177" spans="2:39" s="2" customFormat="1" ht="26">
      <c r="B177" s="2">
        <v>131</v>
      </c>
      <c r="D177" s="37"/>
      <c r="E177" s="2" t="s">
        <v>2684</v>
      </c>
      <c r="I177" s="2" t="s">
        <v>376</v>
      </c>
      <c r="K177" s="213" t="s">
        <v>2667</v>
      </c>
      <c r="L177" s="209" t="s">
        <v>2318</v>
      </c>
      <c r="M177" s="217" t="s">
        <v>2324</v>
      </c>
      <c r="N177" s="217" t="s">
        <v>2325</v>
      </c>
      <c r="O177" s="216" t="s">
        <v>22</v>
      </c>
      <c r="P177" s="215" t="s">
        <v>2685</v>
      </c>
      <c r="Q177" s="215" t="s">
        <v>2686</v>
      </c>
      <c r="S177" s="2" t="s">
        <v>3116</v>
      </c>
      <c r="T177" s="166"/>
      <c r="U177" s="166"/>
      <c r="V177" s="166"/>
      <c r="W177" s="167"/>
      <c r="X177" s="167"/>
      <c r="Y177" s="167"/>
      <c r="Z177" s="167"/>
      <c r="AA177" s="167"/>
      <c r="AB177" s="167"/>
      <c r="AC177" s="166"/>
      <c r="AD177" s="166"/>
      <c r="AE177" s="166"/>
      <c r="AF177" s="166"/>
      <c r="AG177" s="166"/>
      <c r="AH177" s="166"/>
      <c r="AI177" s="166"/>
      <c r="AJ177" s="17"/>
      <c r="AK177" s="17"/>
      <c r="AL177" s="17"/>
      <c r="AM177" s="17"/>
    </row>
    <row r="178" spans="2:39" s="2" customFormat="1" ht="43.5">
      <c r="B178" s="2">
        <v>132</v>
      </c>
      <c r="D178" s="37" t="s">
        <v>96</v>
      </c>
      <c r="E178" s="2" t="s">
        <v>97</v>
      </c>
      <c r="I178" s="2" t="s">
        <v>376</v>
      </c>
      <c r="K178" s="213" t="s">
        <v>3060</v>
      </c>
      <c r="L178" s="209" t="s">
        <v>2318</v>
      </c>
      <c r="M178" s="217" t="s">
        <v>2324</v>
      </c>
      <c r="N178" s="217" t="s">
        <v>2325</v>
      </c>
      <c r="O178" s="216" t="s">
        <v>22</v>
      </c>
      <c r="P178" s="215" t="s">
        <v>554</v>
      </c>
      <c r="Q178" s="215" t="s">
        <v>2722</v>
      </c>
      <c r="S178" s="17"/>
      <c r="T178" s="166" t="s">
        <v>376</v>
      </c>
      <c r="U178" s="166"/>
      <c r="V178" s="166" t="s">
        <v>899</v>
      </c>
      <c r="W178" s="167" t="s">
        <v>823</v>
      </c>
      <c r="X178" s="167" t="s">
        <v>664</v>
      </c>
      <c r="Y178" s="167">
        <v>0</v>
      </c>
      <c r="Z178" s="168" t="s">
        <v>22</v>
      </c>
      <c r="AA178" s="167" t="s">
        <v>900</v>
      </c>
      <c r="AB178" s="167" t="s">
        <v>901</v>
      </c>
      <c r="AC178" s="166"/>
      <c r="AD178" s="166"/>
      <c r="AE178" s="166"/>
      <c r="AF178" s="166"/>
      <c r="AG178" s="166"/>
      <c r="AH178" s="166"/>
      <c r="AI178" s="166"/>
      <c r="AJ178" s="17"/>
      <c r="AK178" s="17"/>
      <c r="AL178" s="17"/>
      <c r="AM178" s="17"/>
    </row>
    <row r="179" spans="2:39" s="2" customFormat="1" ht="165.5">
      <c r="B179" s="2">
        <v>133</v>
      </c>
      <c r="D179" s="37"/>
      <c r="E179" s="2" t="s">
        <v>904</v>
      </c>
      <c r="I179" s="2" t="s">
        <v>376</v>
      </c>
      <c r="K179" s="213" t="s">
        <v>2733</v>
      </c>
      <c r="L179" s="209" t="s">
        <v>2318</v>
      </c>
      <c r="M179" s="217" t="s">
        <v>2324</v>
      </c>
      <c r="N179" s="217" t="s">
        <v>2325</v>
      </c>
      <c r="O179" s="216" t="s">
        <v>22</v>
      </c>
      <c r="P179" s="215" t="s">
        <v>559</v>
      </c>
      <c r="Q179" s="215" t="s">
        <v>2732</v>
      </c>
      <c r="S179" s="17"/>
      <c r="T179" s="166" t="s">
        <v>376</v>
      </c>
      <c r="U179" s="166"/>
      <c r="V179" s="166" t="s">
        <v>902</v>
      </c>
      <c r="W179" s="167" t="s">
        <v>823</v>
      </c>
      <c r="X179" s="167" t="s">
        <v>664</v>
      </c>
      <c r="Y179" s="167">
        <v>0</v>
      </c>
      <c r="Z179" s="168" t="s">
        <v>22</v>
      </c>
      <c r="AA179" s="167" t="s">
        <v>900</v>
      </c>
      <c r="AB179" s="167" t="s">
        <v>901</v>
      </c>
      <c r="AC179" s="166"/>
      <c r="AD179" s="166"/>
      <c r="AE179" s="166"/>
      <c r="AF179" s="166"/>
      <c r="AG179" s="166"/>
      <c r="AH179" s="166"/>
      <c r="AI179" s="166"/>
      <c r="AJ179" s="17"/>
      <c r="AK179" s="17"/>
      <c r="AL179" s="17"/>
      <c r="AM179" s="17"/>
    </row>
    <row r="180" spans="2:39" s="2" customFormat="1" ht="29">
      <c r="B180" s="2">
        <v>134</v>
      </c>
      <c r="D180" s="37"/>
      <c r="E180" s="2" t="s">
        <v>903</v>
      </c>
      <c r="K180" s="213"/>
      <c r="L180" s="213"/>
      <c r="M180" s="213"/>
      <c r="T180" s="166" t="s">
        <v>376</v>
      </c>
      <c r="U180" s="166"/>
      <c r="V180" s="166" t="s">
        <v>907</v>
      </c>
      <c r="W180" s="167" t="s">
        <v>823</v>
      </c>
      <c r="X180" s="167" t="s">
        <v>664</v>
      </c>
      <c r="Y180" s="167">
        <v>0</v>
      </c>
      <c r="Z180" s="168" t="s">
        <v>22</v>
      </c>
      <c r="AA180" s="167" t="s">
        <v>900</v>
      </c>
      <c r="AB180" s="167" t="s">
        <v>901</v>
      </c>
      <c r="AC180" s="166"/>
      <c r="AD180" s="166"/>
      <c r="AE180" s="166"/>
      <c r="AF180" s="166"/>
      <c r="AG180" s="166"/>
      <c r="AH180" s="166"/>
      <c r="AI180" s="166"/>
      <c r="AJ180" s="17"/>
      <c r="AK180" s="17"/>
      <c r="AL180" s="17"/>
      <c r="AM180" s="17"/>
    </row>
    <row r="181" spans="2:39" s="2" customFormat="1" ht="43.5">
      <c r="B181" s="2">
        <v>135</v>
      </c>
      <c r="D181" s="37"/>
      <c r="E181" s="2" t="s">
        <v>905</v>
      </c>
      <c r="K181" s="213"/>
      <c r="L181" s="213"/>
      <c r="M181" s="213"/>
      <c r="T181" s="166" t="s">
        <v>376</v>
      </c>
      <c r="U181" s="166"/>
      <c r="V181" s="166" t="s">
        <v>906</v>
      </c>
      <c r="W181" s="167" t="s">
        <v>823</v>
      </c>
      <c r="X181" s="167" t="s">
        <v>664</v>
      </c>
      <c r="Y181" s="167">
        <v>0</v>
      </c>
      <c r="Z181" s="168" t="s">
        <v>22</v>
      </c>
      <c r="AA181" s="167" t="s">
        <v>900</v>
      </c>
      <c r="AB181" s="167" t="s">
        <v>901</v>
      </c>
      <c r="AC181" s="166"/>
      <c r="AD181" s="166"/>
      <c r="AE181" s="166"/>
      <c r="AF181" s="166"/>
      <c r="AG181" s="166"/>
      <c r="AH181" s="166"/>
      <c r="AI181" s="166"/>
      <c r="AJ181" s="17"/>
      <c r="AK181" s="17"/>
      <c r="AL181" s="17"/>
      <c r="AM181" s="17"/>
    </row>
    <row r="182" spans="2:39" s="2" customFormat="1" ht="43.5">
      <c r="B182" s="2">
        <v>136</v>
      </c>
      <c r="E182" s="2" t="s">
        <v>908</v>
      </c>
      <c r="I182" s="2" t="s">
        <v>376</v>
      </c>
      <c r="K182" s="2" t="s">
        <v>2734</v>
      </c>
      <c r="T182" s="166" t="s">
        <v>376</v>
      </c>
      <c r="U182" s="166"/>
      <c r="V182" s="166" t="s">
        <v>909</v>
      </c>
      <c r="W182" s="167" t="s">
        <v>823</v>
      </c>
      <c r="X182" s="167" t="s">
        <v>664</v>
      </c>
      <c r="Y182" s="167">
        <v>0</v>
      </c>
      <c r="Z182" s="168" t="s">
        <v>22</v>
      </c>
      <c r="AA182" s="167" t="s">
        <v>900</v>
      </c>
      <c r="AB182" s="167" t="s">
        <v>910</v>
      </c>
      <c r="AC182" s="166"/>
      <c r="AD182" s="166"/>
      <c r="AE182" s="166"/>
      <c r="AF182" s="166"/>
      <c r="AG182" s="166"/>
      <c r="AH182" s="166"/>
      <c r="AI182" s="166"/>
      <c r="AJ182" s="17"/>
      <c r="AK182" s="17"/>
      <c r="AL182" s="17"/>
      <c r="AM182" s="17"/>
    </row>
    <row r="183" spans="2:39" s="2" customFormat="1" ht="190.5" customHeight="1">
      <c r="B183" s="2">
        <v>137</v>
      </c>
      <c r="D183" s="37" t="s">
        <v>98</v>
      </c>
      <c r="E183" s="2" t="s">
        <v>99</v>
      </c>
      <c r="I183" s="2" t="s">
        <v>376</v>
      </c>
      <c r="K183" s="213" t="s">
        <v>2599</v>
      </c>
      <c r="L183" s="209" t="s">
        <v>2321</v>
      </c>
      <c r="M183" s="218" t="s">
        <v>2322</v>
      </c>
      <c r="N183" s="213" t="s">
        <v>2323</v>
      </c>
      <c r="O183" s="216" t="s">
        <v>22</v>
      </c>
      <c r="P183" s="215" t="s">
        <v>2602</v>
      </c>
      <c r="Q183" s="219" t="s">
        <v>2600</v>
      </c>
      <c r="S183" s="17" t="s">
        <v>3061</v>
      </c>
      <c r="T183" s="166" t="s">
        <v>376</v>
      </c>
      <c r="U183" s="166"/>
      <c r="V183" s="166" t="s">
        <v>1452</v>
      </c>
      <c r="W183" s="167" t="s">
        <v>649</v>
      </c>
      <c r="X183" s="167" t="s">
        <v>650</v>
      </c>
      <c r="Y183" s="167">
        <v>0</v>
      </c>
      <c r="Z183" s="168" t="s">
        <v>22</v>
      </c>
      <c r="AA183" s="166" t="s">
        <v>710</v>
      </c>
      <c r="AB183" s="169" t="s">
        <v>709</v>
      </c>
      <c r="AC183" s="166"/>
      <c r="AD183" s="166" t="s">
        <v>1455</v>
      </c>
      <c r="AE183" s="172" t="s">
        <v>1428</v>
      </c>
      <c r="AF183" s="172" t="s">
        <v>711</v>
      </c>
      <c r="AG183" s="172">
        <v>0</v>
      </c>
      <c r="AH183" s="187" t="s">
        <v>22</v>
      </c>
      <c r="AI183" s="166" t="s">
        <v>640</v>
      </c>
      <c r="AJ183" s="23" t="s">
        <v>1456</v>
      </c>
      <c r="AK183" s="23"/>
      <c r="AL183" s="23"/>
      <c r="AM183" s="23"/>
    </row>
    <row r="184" spans="2:39" s="2" customFormat="1" ht="190.5" customHeight="1">
      <c r="B184" s="2">
        <v>138</v>
      </c>
      <c r="D184" s="37"/>
      <c r="I184" s="2" t="s">
        <v>376</v>
      </c>
      <c r="K184" s="213" t="s">
        <v>2737</v>
      </c>
      <c r="L184" s="209" t="s">
        <v>2318</v>
      </c>
      <c r="M184" s="217" t="s">
        <v>2324</v>
      </c>
      <c r="N184" s="217" t="s">
        <v>2325</v>
      </c>
      <c r="O184" s="216" t="s">
        <v>22</v>
      </c>
      <c r="P184" s="215" t="s">
        <v>559</v>
      </c>
      <c r="Q184" s="215" t="s">
        <v>2736</v>
      </c>
      <c r="S184" s="17"/>
      <c r="T184" s="166"/>
      <c r="U184" s="166"/>
      <c r="V184" s="166"/>
      <c r="W184" s="172"/>
      <c r="X184" s="172"/>
      <c r="Y184" s="172"/>
      <c r="Z184" s="168"/>
      <c r="AA184" s="166"/>
      <c r="AB184" s="169"/>
      <c r="AC184" s="166"/>
      <c r="AD184" s="166"/>
      <c r="AE184" s="172"/>
      <c r="AF184" s="172"/>
      <c r="AG184" s="172"/>
      <c r="AH184" s="194"/>
      <c r="AI184" s="166"/>
      <c r="AJ184" s="23"/>
      <c r="AK184" s="23"/>
      <c r="AL184" s="23"/>
      <c r="AM184" s="23"/>
    </row>
    <row r="185" spans="2:39" s="2" customFormat="1" ht="267">
      <c r="B185" s="2">
        <v>139</v>
      </c>
      <c r="D185" s="37"/>
      <c r="E185" s="2" t="s">
        <v>1466</v>
      </c>
      <c r="F185" s="2" t="s">
        <v>18</v>
      </c>
      <c r="K185" s="213"/>
      <c r="L185" s="213"/>
      <c r="M185" s="213"/>
      <c r="T185" s="166" t="s">
        <v>376</v>
      </c>
      <c r="U185" s="166"/>
      <c r="V185" s="166" t="s">
        <v>1485</v>
      </c>
      <c r="W185" s="172" t="s">
        <v>1428</v>
      </c>
      <c r="X185" s="172" t="s">
        <v>711</v>
      </c>
      <c r="Y185" s="172">
        <v>0</v>
      </c>
      <c r="Z185" s="168" t="s">
        <v>22</v>
      </c>
      <c r="AA185" s="166" t="s">
        <v>1349</v>
      </c>
      <c r="AB185" s="169" t="s">
        <v>1467</v>
      </c>
      <c r="AC185" s="166"/>
      <c r="AD185" s="166"/>
      <c r="AE185" s="166"/>
      <c r="AF185" s="166"/>
      <c r="AG185" s="166"/>
      <c r="AH185" s="166"/>
      <c r="AI185" s="166"/>
      <c r="AJ185" s="17"/>
      <c r="AK185" s="17"/>
      <c r="AL185" s="17"/>
      <c r="AM185" s="17"/>
    </row>
    <row r="186" spans="2:39" s="2" customFormat="1" ht="190.5">
      <c r="B186" s="2">
        <v>140</v>
      </c>
      <c r="D186" s="37"/>
      <c r="E186" s="2" t="s">
        <v>1473</v>
      </c>
      <c r="F186" s="2" t="s">
        <v>1484</v>
      </c>
      <c r="K186" s="213"/>
      <c r="L186" s="213"/>
      <c r="M186" s="213"/>
      <c r="T186" s="166" t="s">
        <v>376</v>
      </c>
      <c r="U186" s="166"/>
      <c r="V186" s="166" t="s">
        <v>1470</v>
      </c>
      <c r="W186" s="172" t="s">
        <v>1428</v>
      </c>
      <c r="X186" s="172" t="s">
        <v>711</v>
      </c>
      <c r="Y186" s="172">
        <v>0</v>
      </c>
      <c r="Z186" s="168" t="s">
        <v>22</v>
      </c>
      <c r="AA186" s="166" t="s">
        <v>828</v>
      </c>
      <c r="AB186" s="169" t="s">
        <v>1469</v>
      </c>
      <c r="AC186" s="166"/>
      <c r="AD186" s="166"/>
      <c r="AE186" s="166"/>
      <c r="AF186" s="166"/>
      <c r="AG186" s="166"/>
      <c r="AH186" s="166"/>
      <c r="AI186" s="166"/>
      <c r="AJ186" s="17"/>
      <c r="AK186" s="17"/>
      <c r="AL186" s="17"/>
      <c r="AM186" s="17"/>
    </row>
    <row r="187" spans="2:39" s="2" customFormat="1" ht="116">
      <c r="B187" s="2">
        <v>141</v>
      </c>
      <c r="D187" s="37"/>
      <c r="E187" s="2" t="s">
        <v>1472</v>
      </c>
      <c r="K187" s="213"/>
      <c r="L187" s="213"/>
      <c r="M187" s="213"/>
      <c r="T187" s="166" t="s">
        <v>376</v>
      </c>
      <c r="U187" s="166"/>
      <c r="V187" s="166" t="s">
        <v>1475</v>
      </c>
      <c r="W187" s="172" t="s">
        <v>1428</v>
      </c>
      <c r="X187" s="172" t="s">
        <v>711</v>
      </c>
      <c r="Y187" s="172">
        <v>0</v>
      </c>
      <c r="Z187" s="168" t="s">
        <v>22</v>
      </c>
      <c r="AA187" s="166" t="s">
        <v>836</v>
      </c>
      <c r="AB187" s="169" t="s">
        <v>1474</v>
      </c>
      <c r="AC187" s="166" t="s">
        <v>1477</v>
      </c>
      <c r="AD187" s="190"/>
      <c r="AE187" s="191"/>
      <c r="AF187" s="191"/>
      <c r="AG187" s="191"/>
      <c r="AH187" s="192"/>
      <c r="AI187" s="166"/>
      <c r="AJ187" s="17"/>
      <c r="AK187" s="17"/>
      <c r="AL187" s="17" t="s">
        <v>1964</v>
      </c>
      <c r="AM187" s="17"/>
    </row>
    <row r="188" spans="2:39" s="2" customFormat="1" ht="203">
      <c r="B188" s="2">
        <v>142</v>
      </c>
      <c r="D188" s="37"/>
      <c r="E188" s="2" t="s">
        <v>1471</v>
      </c>
      <c r="K188" s="213"/>
      <c r="L188" s="213"/>
      <c r="M188" s="213"/>
      <c r="T188" s="166" t="s">
        <v>376</v>
      </c>
      <c r="U188" s="166"/>
      <c r="V188" s="166" t="s">
        <v>1476</v>
      </c>
      <c r="W188" s="172" t="s">
        <v>1428</v>
      </c>
      <c r="X188" s="172" t="s">
        <v>711</v>
      </c>
      <c r="Y188" s="172">
        <v>0</v>
      </c>
      <c r="Z188" s="168" t="s">
        <v>22</v>
      </c>
      <c r="AA188" s="166" t="s">
        <v>836</v>
      </c>
      <c r="AB188" s="169" t="s">
        <v>1474</v>
      </c>
      <c r="AC188" s="166"/>
      <c r="AD188" s="190"/>
      <c r="AE188" s="191"/>
      <c r="AF188" s="191"/>
      <c r="AG188" s="191"/>
      <c r="AH188" s="192"/>
      <c r="AI188" s="166"/>
      <c r="AJ188" s="17"/>
      <c r="AK188" s="17"/>
      <c r="AL188" s="17"/>
      <c r="AM188" s="17"/>
    </row>
    <row r="189" spans="2:39" s="2" customFormat="1" ht="269.5" customHeight="1">
      <c r="B189" s="2">
        <v>143</v>
      </c>
      <c r="D189" s="37"/>
      <c r="E189" s="2" t="s">
        <v>100</v>
      </c>
      <c r="K189" s="213"/>
      <c r="L189" s="213"/>
      <c r="M189" s="213"/>
      <c r="T189" s="166" t="s">
        <v>376</v>
      </c>
      <c r="U189" s="166"/>
      <c r="V189" s="166" t="s">
        <v>1454</v>
      </c>
      <c r="W189" s="167" t="s">
        <v>638</v>
      </c>
      <c r="X189" s="166" t="s">
        <v>639</v>
      </c>
      <c r="Y189" s="166"/>
      <c r="Z189" s="168" t="s">
        <v>22</v>
      </c>
      <c r="AA189" s="166" t="s">
        <v>1100</v>
      </c>
      <c r="AB189" s="169" t="s">
        <v>1453</v>
      </c>
      <c r="AC189" s="166" t="s">
        <v>922</v>
      </c>
      <c r="AD189" s="193" t="s">
        <v>1468</v>
      </c>
      <c r="AE189" s="172" t="s">
        <v>1428</v>
      </c>
      <c r="AF189" s="172" t="s">
        <v>711</v>
      </c>
      <c r="AG189" s="172">
        <v>0</v>
      </c>
      <c r="AH189" s="187" t="s">
        <v>22</v>
      </c>
      <c r="AI189" s="166" t="s">
        <v>1349</v>
      </c>
      <c r="AJ189" s="23" t="s">
        <v>1469</v>
      </c>
      <c r="AK189" s="23"/>
      <c r="AL189" s="23"/>
      <c r="AM189" s="23"/>
    </row>
    <row r="190" spans="2:39" s="2" customFormat="1" ht="43.5">
      <c r="B190" s="2">
        <v>144</v>
      </c>
      <c r="D190" s="37"/>
      <c r="E190" s="2" t="s">
        <v>1478</v>
      </c>
      <c r="K190" s="213"/>
      <c r="L190" s="213"/>
      <c r="M190" s="213"/>
      <c r="T190" s="166" t="s">
        <v>376</v>
      </c>
      <c r="U190" s="166"/>
      <c r="V190" s="166" t="s">
        <v>1480</v>
      </c>
      <c r="W190" s="172" t="s">
        <v>1428</v>
      </c>
      <c r="X190" s="172" t="s">
        <v>711</v>
      </c>
      <c r="Y190" s="172">
        <v>0</v>
      </c>
      <c r="Z190" s="168" t="s">
        <v>22</v>
      </c>
      <c r="AA190" s="166" t="s">
        <v>714</v>
      </c>
      <c r="AB190" s="169" t="s">
        <v>1479</v>
      </c>
      <c r="AC190" s="166"/>
      <c r="AD190" s="193"/>
      <c r="AE190" s="172"/>
      <c r="AF190" s="172"/>
      <c r="AG190" s="172"/>
      <c r="AH190" s="194"/>
      <c r="AI190" s="166"/>
      <c r="AJ190" s="23"/>
      <c r="AK190" s="23"/>
      <c r="AL190" s="23"/>
      <c r="AM190" s="23"/>
    </row>
    <row r="191" spans="2:39" s="2" customFormat="1" ht="60" customHeight="1">
      <c r="B191" s="2">
        <v>145</v>
      </c>
      <c r="D191" s="37"/>
      <c r="E191" s="2" t="s">
        <v>101</v>
      </c>
      <c r="G191" s="2" t="s">
        <v>102</v>
      </c>
      <c r="K191" s="213"/>
      <c r="L191" s="213"/>
      <c r="M191" s="213"/>
      <c r="T191" s="166" t="s">
        <v>376</v>
      </c>
      <c r="U191" s="166"/>
      <c r="V191" s="166" t="s">
        <v>1593</v>
      </c>
      <c r="W191" s="172" t="s">
        <v>1428</v>
      </c>
      <c r="X191" s="172" t="s">
        <v>711</v>
      </c>
      <c r="Y191" s="172">
        <v>0</v>
      </c>
      <c r="Z191" s="168" t="s">
        <v>22</v>
      </c>
      <c r="AA191" s="166" t="s">
        <v>1594</v>
      </c>
      <c r="AB191" s="169" t="s">
        <v>1595</v>
      </c>
      <c r="AC191" s="166"/>
      <c r="AD191" s="166"/>
      <c r="AE191" s="166"/>
      <c r="AF191" s="166"/>
      <c r="AG191" s="166"/>
      <c r="AH191" s="166"/>
      <c r="AI191" s="166"/>
      <c r="AJ191" s="17"/>
      <c r="AK191" s="17"/>
      <c r="AL191" s="17"/>
      <c r="AM191" s="17"/>
    </row>
    <row r="192" spans="2:39" s="2" customFormat="1">
      <c r="B192" s="2">
        <v>146</v>
      </c>
      <c r="D192" s="37"/>
      <c r="E192" s="2" t="s">
        <v>103</v>
      </c>
      <c r="T192" s="166" t="s">
        <v>376</v>
      </c>
      <c r="U192" s="166"/>
      <c r="V192" s="166" t="s">
        <v>1599</v>
      </c>
      <c r="W192" s="171" t="s">
        <v>1598</v>
      </c>
      <c r="X192" s="166"/>
      <c r="Y192" s="166"/>
      <c r="Z192" s="166"/>
      <c r="AA192" s="166"/>
      <c r="AB192" s="166"/>
      <c r="AC192" s="166"/>
      <c r="AD192" s="166"/>
      <c r="AE192" s="166"/>
      <c r="AF192" s="166"/>
      <c r="AG192" s="166"/>
      <c r="AH192" s="166"/>
      <c r="AI192" s="166"/>
      <c r="AJ192" s="17"/>
      <c r="AK192" s="17"/>
      <c r="AL192" s="17"/>
      <c r="AM192" s="17"/>
    </row>
    <row r="193" spans="2:39" s="2" customFormat="1" ht="30" customHeight="1">
      <c r="B193" s="2">
        <v>147</v>
      </c>
      <c r="D193" s="37"/>
      <c r="E193" s="2" t="s">
        <v>105</v>
      </c>
      <c r="G193" s="2" t="s">
        <v>105</v>
      </c>
      <c r="K193" s="213"/>
      <c r="L193" s="213"/>
      <c r="M193" s="213"/>
      <c r="T193" s="166" t="s">
        <v>376</v>
      </c>
      <c r="U193" s="166"/>
      <c r="V193" s="166" t="s">
        <v>1596</v>
      </c>
      <c r="W193" s="183" t="s">
        <v>1598</v>
      </c>
      <c r="X193" s="167"/>
      <c r="Y193" s="195"/>
      <c r="Z193" s="184"/>
      <c r="AA193" s="166"/>
      <c r="AB193" s="166"/>
      <c r="AC193" s="166"/>
      <c r="AD193" s="166"/>
      <c r="AE193" s="166"/>
      <c r="AF193" s="166"/>
      <c r="AG193" s="166"/>
      <c r="AH193" s="166"/>
      <c r="AI193" s="166"/>
      <c r="AJ193" s="17"/>
      <c r="AK193" s="17"/>
      <c r="AL193" s="17"/>
      <c r="AM193" s="17"/>
    </row>
    <row r="194" spans="2:39" s="2" customFormat="1" ht="72.5">
      <c r="B194" s="2">
        <v>148</v>
      </c>
      <c r="D194" s="37"/>
      <c r="E194" s="2" t="s">
        <v>104</v>
      </c>
      <c r="F194" s="2" t="s">
        <v>18</v>
      </c>
      <c r="G194" s="2" t="s">
        <v>18</v>
      </c>
      <c r="K194" s="213"/>
      <c r="L194" s="213"/>
      <c r="M194" s="213"/>
      <c r="T194" s="166" t="s">
        <v>376</v>
      </c>
      <c r="U194" s="166"/>
      <c r="V194" s="166" t="s">
        <v>1483</v>
      </c>
      <c r="W194" s="172" t="s">
        <v>1428</v>
      </c>
      <c r="X194" s="172" t="s">
        <v>711</v>
      </c>
      <c r="Y194" s="172">
        <v>0</v>
      </c>
      <c r="Z194" s="168" t="s">
        <v>22</v>
      </c>
      <c r="AA194" s="166" t="s">
        <v>1482</v>
      </c>
      <c r="AB194" s="169" t="s">
        <v>1481</v>
      </c>
      <c r="AC194" s="166"/>
      <c r="AD194" s="166"/>
      <c r="AE194" s="166"/>
      <c r="AF194" s="166"/>
      <c r="AG194" s="166"/>
      <c r="AH194" s="166"/>
      <c r="AI194" s="166"/>
      <c r="AJ194" s="17"/>
      <c r="AK194" s="17"/>
      <c r="AL194" s="17"/>
      <c r="AM194" s="17"/>
    </row>
    <row r="195" spans="2:39" s="2" customFormat="1">
      <c r="B195" s="2">
        <v>149</v>
      </c>
      <c r="D195" s="37"/>
      <c r="E195" s="2" t="s">
        <v>106</v>
      </c>
      <c r="G195" s="2" t="s">
        <v>107</v>
      </c>
      <c r="K195" s="213"/>
      <c r="L195" s="213"/>
      <c r="M195" s="213"/>
      <c r="T195" s="166"/>
      <c r="U195" s="166"/>
      <c r="V195" s="166"/>
      <c r="W195" s="166"/>
      <c r="X195" s="166"/>
      <c r="Y195" s="166"/>
      <c r="Z195" s="166"/>
      <c r="AA195" s="166"/>
      <c r="AB195" s="166"/>
      <c r="AC195" s="166"/>
      <c r="AD195" s="166"/>
      <c r="AE195" s="166"/>
      <c r="AF195" s="166"/>
      <c r="AG195" s="166"/>
      <c r="AH195" s="166"/>
      <c r="AI195" s="166"/>
      <c r="AJ195" s="17"/>
      <c r="AK195" s="17"/>
      <c r="AL195" s="17"/>
      <c r="AM195" s="17"/>
    </row>
    <row r="196" spans="2:39" s="2" customFormat="1" ht="29">
      <c r="B196" s="2">
        <v>150</v>
      </c>
      <c r="D196" s="37"/>
      <c r="E196" s="2" t="s">
        <v>553</v>
      </c>
      <c r="K196" s="213"/>
      <c r="L196" s="213"/>
      <c r="M196" s="213"/>
      <c r="T196" s="166" t="s">
        <v>376</v>
      </c>
      <c r="U196" s="166"/>
      <c r="V196" s="166" t="s">
        <v>1600</v>
      </c>
      <c r="W196" s="171" t="s">
        <v>1598</v>
      </c>
      <c r="X196" s="166"/>
      <c r="Y196" s="166"/>
      <c r="Z196" s="166"/>
      <c r="AA196" s="166"/>
      <c r="AB196" s="166"/>
      <c r="AC196" s="166"/>
      <c r="AD196" s="196" t="s">
        <v>1597</v>
      </c>
      <c r="AE196" s="167" t="s">
        <v>608</v>
      </c>
      <c r="AF196" s="167" t="s">
        <v>425</v>
      </c>
      <c r="AG196" s="167"/>
      <c r="AH196" s="168" t="s">
        <v>22</v>
      </c>
      <c r="AI196" s="166" t="s">
        <v>554</v>
      </c>
      <c r="AJ196" s="23" t="s">
        <v>555</v>
      </c>
      <c r="AK196" s="23"/>
      <c r="AL196" s="23"/>
      <c r="AM196" s="23"/>
    </row>
    <row r="197" spans="2:39" s="2" customFormat="1" ht="100" customHeight="1">
      <c r="B197" s="2">
        <v>151</v>
      </c>
      <c r="D197" s="37" t="s">
        <v>558</v>
      </c>
      <c r="E197" s="2" t="s">
        <v>2507</v>
      </c>
      <c r="I197" s="2" t="s">
        <v>376</v>
      </c>
      <c r="K197" s="213" t="s">
        <v>3062</v>
      </c>
      <c r="L197" s="209" t="s">
        <v>2321</v>
      </c>
      <c r="M197" s="218" t="s">
        <v>2322</v>
      </c>
      <c r="N197" s="213" t="s">
        <v>2323</v>
      </c>
      <c r="O197" s="216" t="s">
        <v>22</v>
      </c>
      <c r="P197" s="215" t="s">
        <v>2303</v>
      </c>
      <c r="Q197" s="219" t="s">
        <v>2508</v>
      </c>
      <c r="S197" s="17"/>
      <c r="T197" s="166" t="s">
        <v>376</v>
      </c>
      <c r="U197" s="166"/>
      <c r="V197" s="196" t="s">
        <v>863</v>
      </c>
      <c r="W197" s="167" t="s">
        <v>823</v>
      </c>
      <c r="X197" s="167" t="s">
        <v>664</v>
      </c>
      <c r="Y197" s="167">
        <v>0</v>
      </c>
      <c r="Z197" s="168" t="s">
        <v>22</v>
      </c>
      <c r="AA197" s="167" t="s">
        <v>680</v>
      </c>
      <c r="AB197" s="167" t="s">
        <v>862</v>
      </c>
      <c r="AC197" s="166"/>
      <c r="AD197" s="166"/>
      <c r="AE197" s="166"/>
      <c r="AF197" s="166"/>
      <c r="AG197" s="166"/>
      <c r="AH197" s="166"/>
      <c r="AI197" s="166"/>
      <c r="AJ197" s="17"/>
      <c r="AK197" s="17"/>
      <c r="AL197" s="17"/>
      <c r="AM197" s="17"/>
    </row>
    <row r="198" spans="2:39" s="2" customFormat="1" ht="174">
      <c r="B198" s="2">
        <v>152</v>
      </c>
      <c r="D198" s="37"/>
      <c r="K198" s="213"/>
      <c r="L198" s="213"/>
      <c r="M198" s="213"/>
      <c r="T198" s="166" t="s">
        <v>376</v>
      </c>
      <c r="U198" s="166"/>
      <c r="V198" s="166" t="s">
        <v>743</v>
      </c>
      <c r="W198" s="167" t="s">
        <v>608</v>
      </c>
      <c r="X198" s="167" t="s">
        <v>425</v>
      </c>
      <c r="Y198" s="167"/>
      <c r="Z198" s="168" t="s">
        <v>22</v>
      </c>
      <c r="AA198" s="166" t="s">
        <v>559</v>
      </c>
      <c r="AB198" s="169" t="s">
        <v>560</v>
      </c>
      <c r="AC198" s="166"/>
      <c r="AD198" s="166"/>
      <c r="AE198" s="166"/>
      <c r="AF198" s="166"/>
      <c r="AG198" s="166"/>
      <c r="AH198" s="166"/>
      <c r="AI198" s="166"/>
      <c r="AJ198" s="17"/>
      <c r="AK198" s="17"/>
      <c r="AL198" s="17"/>
      <c r="AM198" s="17"/>
    </row>
    <row r="199" spans="2:39" s="2" customFormat="1" ht="87">
      <c r="B199" s="2">
        <v>153</v>
      </c>
      <c r="D199" s="37"/>
      <c r="K199" s="213"/>
      <c r="L199" s="213"/>
      <c r="M199" s="213"/>
      <c r="T199" s="166" t="s">
        <v>376</v>
      </c>
      <c r="U199" s="166"/>
      <c r="V199" s="166" t="s">
        <v>643</v>
      </c>
      <c r="W199" s="166" t="s">
        <v>604</v>
      </c>
      <c r="X199" s="166" t="s">
        <v>549</v>
      </c>
      <c r="Y199" s="166"/>
      <c r="Z199" s="168" t="s">
        <v>22</v>
      </c>
      <c r="AA199" s="166" t="s">
        <v>628</v>
      </c>
      <c r="AB199" s="169" t="s">
        <v>627</v>
      </c>
      <c r="AC199" s="166"/>
      <c r="AD199" s="166"/>
      <c r="AE199" s="166"/>
      <c r="AF199" s="166"/>
      <c r="AG199" s="166"/>
      <c r="AH199" s="166"/>
      <c r="AI199" s="166"/>
      <c r="AJ199" s="17"/>
      <c r="AK199" s="17"/>
      <c r="AL199" s="17"/>
      <c r="AM199" s="17"/>
    </row>
    <row r="200" spans="2:39" s="2" customFormat="1" ht="240" customHeight="1">
      <c r="B200" s="2">
        <v>154</v>
      </c>
      <c r="D200" s="37" t="s">
        <v>108</v>
      </c>
      <c r="E200" s="2" t="s">
        <v>109</v>
      </c>
      <c r="I200" s="2" t="s">
        <v>376</v>
      </c>
      <c r="K200" s="213" t="s">
        <v>3063</v>
      </c>
      <c r="L200" s="209" t="s">
        <v>2321</v>
      </c>
      <c r="M200" s="218" t="s">
        <v>2322</v>
      </c>
      <c r="N200" s="213" t="s">
        <v>2323</v>
      </c>
      <c r="O200" s="216" t="s">
        <v>22</v>
      </c>
      <c r="P200" s="215" t="s">
        <v>2601</v>
      </c>
      <c r="Q200" s="219" t="s">
        <v>2600</v>
      </c>
      <c r="S200" s="17" t="s">
        <v>3064</v>
      </c>
      <c r="T200" s="166" t="s">
        <v>376</v>
      </c>
      <c r="U200" s="166"/>
      <c r="V200" s="166" t="s">
        <v>1426</v>
      </c>
      <c r="W200" s="172" t="s">
        <v>1110</v>
      </c>
      <c r="X200" s="172" t="s">
        <v>1111</v>
      </c>
      <c r="Y200" s="172">
        <v>0</v>
      </c>
      <c r="Z200" s="168" t="s">
        <v>22</v>
      </c>
      <c r="AA200" s="166" t="s">
        <v>759</v>
      </c>
      <c r="AB200" s="169" t="s">
        <v>1425</v>
      </c>
      <c r="AC200" s="166"/>
      <c r="AD200" s="166"/>
      <c r="AE200" s="166"/>
      <c r="AF200" s="166"/>
      <c r="AG200" s="166"/>
      <c r="AH200" s="166"/>
      <c r="AI200" s="166"/>
      <c r="AJ200" s="17"/>
      <c r="AK200" s="17"/>
      <c r="AL200" s="17"/>
      <c r="AM200" s="17"/>
    </row>
    <row r="201" spans="2:39" s="2" customFormat="1" ht="362.5">
      <c r="B201" s="2">
        <v>155</v>
      </c>
      <c r="C201" s="2" t="s">
        <v>18</v>
      </c>
      <c r="D201" s="37"/>
      <c r="E201" s="2" t="s">
        <v>737</v>
      </c>
      <c r="K201" s="213"/>
      <c r="L201" s="213"/>
      <c r="M201" s="213"/>
      <c r="T201" s="166" t="s">
        <v>376</v>
      </c>
      <c r="U201" s="166"/>
      <c r="V201" s="166" t="s">
        <v>712</v>
      </c>
      <c r="W201" s="167" t="s">
        <v>649</v>
      </c>
      <c r="X201" s="167" t="s">
        <v>650</v>
      </c>
      <c r="Y201" s="167">
        <v>0</v>
      </c>
      <c r="Z201" s="168" t="s">
        <v>22</v>
      </c>
      <c r="AA201" s="166" t="s">
        <v>714</v>
      </c>
      <c r="AB201" s="169" t="s">
        <v>709</v>
      </c>
      <c r="AC201" s="166" t="s">
        <v>923</v>
      </c>
      <c r="AD201" s="166" t="s">
        <v>2306</v>
      </c>
      <c r="AE201" s="166" t="s">
        <v>713</v>
      </c>
      <c r="AF201" s="166" t="s">
        <v>2180</v>
      </c>
      <c r="AG201" s="166" t="s">
        <v>2062</v>
      </c>
      <c r="AH201" s="166" t="s">
        <v>2305</v>
      </c>
      <c r="AI201" s="166"/>
      <c r="AJ201" s="17"/>
      <c r="AK201" s="17"/>
      <c r="AL201" s="17"/>
      <c r="AM201" s="17"/>
    </row>
    <row r="202" spans="2:39" s="2" customFormat="1" ht="304.5">
      <c r="B202" s="2">
        <v>156</v>
      </c>
      <c r="D202" s="37"/>
      <c r="K202" s="213"/>
      <c r="L202" s="213"/>
      <c r="M202" s="213"/>
      <c r="T202" s="166" t="s">
        <v>376</v>
      </c>
      <c r="U202" s="166"/>
      <c r="V202" s="166" t="s">
        <v>2307</v>
      </c>
      <c r="W202" s="185" t="s">
        <v>2304</v>
      </c>
      <c r="X202" s="172" t="s">
        <v>2180</v>
      </c>
      <c r="Y202" s="186"/>
      <c r="Z202" s="187" t="s">
        <v>22</v>
      </c>
      <c r="AA202" s="166" t="s">
        <v>1349</v>
      </c>
      <c r="AB202" s="166" t="s">
        <v>2308</v>
      </c>
      <c r="AC202" s="166"/>
      <c r="AD202" s="166"/>
      <c r="AE202" s="166"/>
      <c r="AF202" s="166"/>
      <c r="AG202" s="166"/>
      <c r="AH202" s="166"/>
      <c r="AI202" s="166"/>
      <c r="AJ202" s="17"/>
      <c r="AK202" s="17"/>
      <c r="AL202" s="17"/>
      <c r="AM202" s="17"/>
    </row>
    <row r="203" spans="2:39" s="2" customFormat="1" ht="116">
      <c r="B203" s="2">
        <v>157</v>
      </c>
      <c r="D203" s="37"/>
      <c r="E203" s="2" t="s">
        <v>110</v>
      </c>
      <c r="F203" s="2" t="s">
        <v>111</v>
      </c>
      <c r="G203" s="2" t="s">
        <v>112</v>
      </c>
      <c r="H203" s="2" t="s">
        <v>113</v>
      </c>
      <c r="K203" s="213"/>
      <c r="L203" s="213"/>
      <c r="M203" s="213"/>
      <c r="T203" s="166" t="s">
        <v>376</v>
      </c>
      <c r="U203" s="166"/>
      <c r="V203" s="166" t="s">
        <v>2309</v>
      </c>
      <c r="W203" s="185" t="s">
        <v>2304</v>
      </c>
      <c r="X203" s="172" t="s">
        <v>2180</v>
      </c>
      <c r="Y203" s="186"/>
      <c r="Z203" s="187" t="s">
        <v>22</v>
      </c>
      <c r="AA203" s="166" t="s">
        <v>2311</v>
      </c>
      <c r="AB203" s="166" t="s">
        <v>2308</v>
      </c>
      <c r="AC203" s="166"/>
      <c r="AD203" s="166"/>
      <c r="AE203" s="166"/>
      <c r="AF203" s="166"/>
      <c r="AG203" s="166"/>
      <c r="AH203" s="166"/>
      <c r="AI203" s="166"/>
      <c r="AJ203" s="17"/>
      <c r="AK203" s="17"/>
      <c r="AL203" s="17"/>
      <c r="AM203" s="17"/>
    </row>
    <row r="204" spans="2:39" s="2" customFormat="1" ht="43.5">
      <c r="B204" s="2">
        <v>158</v>
      </c>
      <c r="D204" s="37"/>
      <c r="E204" s="2" t="s">
        <v>110</v>
      </c>
      <c r="F204" s="2" t="s">
        <v>111</v>
      </c>
      <c r="K204" s="213"/>
      <c r="L204" s="213"/>
      <c r="M204" s="213"/>
      <c r="T204" s="166" t="s">
        <v>376</v>
      </c>
      <c r="U204" s="166"/>
      <c r="V204" s="166" t="s">
        <v>2313</v>
      </c>
      <c r="W204" s="185" t="s">
        <v>2304</v>
      </c>
      <c r="X204" s="172" t="s">
        <v>2180</v>
      </c>
      <c r="Y204" s="186"/>
      <c r="Z204" s="187" t="s">
        <v>22</v>
      </c>
      <c r="AA204" s="166" t="s">
        <v>708</v>
      </c>
      <c r="AB204" s="166" t="s">
        <v>2314</v>
      </c>
      <c r="AC204" s="166"/>
      <c r="AD204" s="166"/>
      <c r="AE204" s="166"/>
      <c r="AF204" s="166"/>
      <c r="AG204" s="166"/>
      <c r="AH204" s="166"/>
      <c r="AI204" s="166"/>
      <c r="AJ204" s="17"/>
      <c r="AK204" s="17"/>
      <c r="AL204" s="17"/>
      <c r="AM204" s="17"/>
    </row>
    <row r="205" spans="2:39" s="2" customFormat="1" ht="58">
      <c r="B205" s="2">
        <v>159</v>
      </c>
      <c r="D205" s="37"/>
      <c r="E205" s="2" t="s">
        <v>110</v>
      </c>
      <c r="F205" s="2" t="s">
        <v>114</v>
      </c>
      <c r="G205" s="2" t="s">
        <v>115</v>
      </c>
      <c r="H205" s="2" t="s">
        <v>116</v>
      </c>
      <c r="K205" s="213"/>
      <c r="L205" s="213"/>
      <c r="M205" s="213"/>
      <c r="T205" s="166" t="s">
        <v>376</v>
      </c>
      <c r="U205" s="166"/>
      <c r="V205" s="166" t="s">
        <v>2310</v>
      </c>
      <c r="W205" s="185" t="s">
        <v>2304</v>
      </c>
      <c r="X205" s="172" t="s">
        <v>2180</v>
      </c>
      <c r="Y205" s="186"/>
      <c r="Z205" s="187" t="s">
        <v>22</v>
      </c>
      <c r="AA205" s="166" t="s">
        <v>836</v>
      </c>
      <c r="AB205" s="166" t="s">
        <v>2312</v>
      </c>
      <c r="AC205" s="166"/>
      <c r="AD205" s="166"/>
      <c r="AE205" s="166"/>
      <c r="AF205" s="166"/>
      <c r="AG205" s="166"/>
      <c r="AH205" s="166"/>
      <c r="AI205" s="166"/>
      <c r="AJ205" s="17"/>
      <c r="AK205" s="17"/>
      <c r="AL205" s="17"/>
      <c r="AM205" s="17"/>
    </row>
    <row r="206" spans="2:39" s="2" customFormat="1" ht="43.5">
      <c r="B206" s="2">
        <v>160</v>
      </c>
      <c r="D206" s="37" t="s">
        <v>349</v>
      </c>
      <c r="E206" s="2" t="s">
        <v>351</v>
      </c>
      <c r="K206" s="213"/>
      <c r="L206" s="213"/>
      <c r="M206" s="213"/>
      <c r="T206" s="166" t="s">
        <v>376</v>
      </c>
      <c r="U206" s="166"/>
      <c r="V206" s="166" t="s">
        <v>716</v>
      </c>
      <c r="W206" s="167" t="s">
        <v>649</v>
      </c>
      <c r="X206" s="167" t="s">
        <v>650</v>
      </c>
      <c r="Y206" s="167">
        <v>0</v>
      </c>
      <c r="Z206" s="168" t="s">
        <v>22</v>
      </c>
      <c r="AA206" s="166" t="s">
        <v>714</v>
      </c>
      <c r="AB206" s="169" t="s">
        <v>709</v>
      </c>
      <c r="AC206" s="166"/>
      <c r="AD206" s="166"/>
      <c r="AE206" s="166" t="s">
        <v>715</v>
      </c>
      <c r="AF206" s="166" t="s">
        <v>2181</v>
      </c>
      <c r="AG206" s="166"/>
      <c r="AH206" s="166"/>
      <c r="AI206" s="166"/>
      <c r="AJ206" s="17"/>
      <c r="AK206" s="17"/>
      <c r="AL206" s="17"/>
      <c r="AM206" s="17"/>
    </row>
    <row r="207" spans="2:39" s="2" customFormat="1" ht="29">
      <c r="B207" s="2">
        <v>161</v>
      </c>
      <c r="D207" s="37"/>
      <c r="E207" s="2" t="s">
        <v>350</v>
      </c>
      <c r="I207" s="2" t="s">
        <v>376</v>
      </c>
      <c r="K207" s="213" t="s">
        <v>2603</v>
      </c>
      <c r="L207" s="209" t="s">
        <v>2321</v>
      </c>
      <c r="M207" s="218" t="s">
        <v>2322</v>
      </c>
      <c r="N207" s="213" t="s">
        <v>2323</v>
      </c>
      <c r="O207" s="216" t="s">
        <v>22</v>
      </c>
      <c r="P207" s="215" t="s">
        <v>2601</v>
      </c>
      <c r="Q207" s="219" t="s">
        <v>2600</v>
      </c>
      <c r="T207" s="166"/>
      <c r="U207" s="166"/>
      <c r="V207" s="166"/>
      <c r="W207" s="166"/>
      <c r="X207" s="166"/>
      <c r="Y207" s="166"/>
      <c r="Z207" s="166"/>
      <c r="AA207" s="166"/>
      <c r="AB207" s="166"/>
      <c r="AC207" s="166"/>
      <c r="AD207" s="166"/>
      <c r="AE207" s="166"/>
      <c r="AF207" s="166"/>
      <c r="AG207" s="166"/>
      <c r="AH207" s="166"/>
      <c r="AI207" s="166"/>
      <c r="AJ207" s="17"/>
      <c r="AK207" s="17"/>
      <c r="AL207" s="17"/>
      <c r="AM207" s="17"/>
    </row>
    <row r="208" spans="2:39" s="2" customFormat="1" ht="29">
      <c r="B208" s="2">
        <v>162</v>
      </c>
      <c r="D208" s="37"/>
      <c r="E208" s="2" t="s">
        <v>684</v>
      </c>
      <c r="K208" s="213"/>
      <c r="L208" s="213"/>
      <c r="M208" s="213"/>
      <c r="T208" s="166" t="s">
        <v>376</v>
      </c>
      <c r="U208" s="166"/>
      <c r="V208" s="166" t="s">
        <v>685</v>
      </c>
      <c r="W208" s="167" t="s">
        <v>649</v>
      </c>
      <c r="X208" s="167" t="s">
        <v>650</v>
      </c>
      <c r="Y208" s="167">
        <v>0</v>
      </c>
      <c r="Z208" s="168" t="s">
        <v>22</v>
      </c>
      <c r="AA208" s="166" t="s">
        <v>680</v>
      </c>
      <c r="AB208" s="169" t="s">
        <v>679</v>
      </c>
      <c r="AC208" s="166"/>
      <c r="AD208" s="166"/>
      <c r="AE208" s="166"/>
      <c r="AF208" s="166"/>
      <c r="AG208" s="166"/>
      <c r="AH208" s="166"/>
      <c r="AI208" s="166"/>
      <c r="AJ208" s="17"/>
      <c r="AK208" s="17"/>
      <c r="AL208" s="17"/>
      <c r="AM208" s="17"/>
    </row>
    <row r="209" spans="2:39" s="2" customFormat="1" ht="174">
      <c r="B209" s="2">
        <v>163</v>
      </c>
      <c r="D209" s="37" t="s">
        <v>2866</v>
      </c>
      <c r="E209" s="2" t="s">
        <v>2529</v>
      </c>
      <c r="I209" s="2" t="s">
        <v>376</v>
      </c>
      <c r="K209" s="213" t="s">
        <v>3117</v>
      </c>
      <c r="L209" s="209" t="s">
        <v>2321</v>
      </c>
      <c r="M209" s="218" t="s">
        <v>2322</v>
      </c>
      <c r="N209" s="213" t="s">
        <v>2323</v>
      </c>
      <c r="O209" s="216" t="s">
        <v>22</v>
      </c>
      <c r="P209" s="215" t="s">
        <v>2530</v>
      </c>
      <c r="Q209" s="219" t="s">
        <v>2520</v>
      </c>
      <c r="S209" s="17"/>
      <c r="T209" s="166"/>
      <c r="U209" s="166"/>
      <c r="V209" s="166"/>
      <c r="W209" s="185"/>
      <c r="X209" s="172"/>
      <c r="Y209" s="186"/>
      <c r="Z209" s="187"/>
      <c r="AA209" s="166"/>
      <c r="AB209" s="166"/>
      <c r="AC209" s="166"/>
      <c r="AD209" s="166"/>
      <c r="AE209" s="166"/>
      <c r="AF209" s="166"/>
      <c r="AG209" s="166"/>
      <c r="AH209" s="166"/>
      <c r="AI209" s="166"/>
      <c r="AJ209" s="17"/>
      <c r="AK209" s="17"/>
      <c r="AL209" s="17"/>
      <c r="AM209" s="17"/>
    </row>
    <row r="210" spans="2:39" s="2" customFormat="1" ht="159.5">
      <c r="D210" s="37"/>
      <c r="E210" s="2" t="s">
        <v>2912</v>
      </c>
      <c r="I210" s="18" t="s">
        <v>376</v>
      </c>
      <c r="K210" s="213" t="s">
        <v>2869</v>
      </c>
      <c r="L210" s="209" t="s">
        <v>2784</v>
      </c>
      <c r="M210" s="239" t="s">
        <v>1598</v>
      </c>
      <c r="N210" s="217"/>
      <c r="O210" s="216" t="s">
        <v>22</v>
      </c>
      <c r="P210" s="215" t="s">
        <v>2867</v>
      </c>
      <c r="Q210" s="215" t="s">
        <v>2868</v>
      </c>
      <c r="T210" s="166"/>
      <c r="U210" s="166"/>
      <c r="V210" s="166"/>
      <c r="W210" s="199"/>
      <c r="X210" s="172"/>
      <c r="Y210" s="200"/>
      <c r="Z210" s="194"/>
      <c r="AA210" s="166"/>
      <c r="AB210" s="166"/>
      <c r="AC210" s="166"/>
      <c r="AD210" s="166"/>
      <c r="AE210" s="166"/>
      <c r="AF210" s="166"/>
      <c r="AG210" s="166"/>
      <c r="AH210" s="166"/>
      <c r="AI210" s="166"/>
      <c r="AJ210" s="17"/>
      <c r="AK210" s="17"/>
      <c r="AL210" s="17"/>
      <c r="AM210" s="17"/>
    </row>
    <row r="211" spans="2:39" s="2" customFormat="1" ht="145">
      <c r="D211" s="37"/>
      <c r="E211" s="2" t="s">
        <v>2911</v>
      </c>
      <c r="I211" s="18" t="s">
        <v>376</v>
      </c>
      <c r="K211" s="213" t="s">
        <v>2913</v>
      </c>
      <c r="L211" s="209" t="s">
        <v>2784</v>
      </c>
      <c r="M211" s="239" t="s">
        <v>1598</v>
      </c>
      <c r="N211" s="217"/>
      <c r="O211" s="216" t="s">
        <v>22</v>
      </c>
      <c r="P211" s="215" t="s">
        <v>2906</v>
      </c>
      <c r="Q211" s="215" t="s">
        <v>2910</v>
      </c>
      <c r="S211" s="17"/>
      <c r="T211" s="166"/>
      <c r="U211" s="166"/>
      <c r="V211" s="166"/>
      <c r="W211" s="199"/>
      <c r="X211" s="172"/>
      <c r="Y211" s="200"/>
      <c r="Z211" s="194"/>
      <c r="AA211" s="166"/>
      <c r="AB211" s="166"/>
      <c r="AC211" s="166"/>
      <c r="AD211" s="166"/>
      <c r="AE211" s="166"/>
      <c r="AF211" s="166"/>
      <c r="AG211" s="166"/>
      <c r="AH211" s="166"/>
      <c r="AI211" s="166"/>
      <c r="AJ211" s="17"/>
      <c r="AK211" s="17"/>
      <c r="AL211" s="17"/>
      <c r="AM211" s="17"/>
    </row>
    <row r="212" spans="2:39" s="2" customFormat="1">
      <c r="D212" s="37"/>
      <c r="I212" s="18"/>
      <c r="K212" s="213"/>
      <c r="L212" s="209"/>
      <c r="M212" s="241"/>
      <c r="N212" s="240"/>
      <c r="O212" s="242"/>
      <c r="P212" s="215"/>
      <c r="Q212" s="215"/>
      <c r="T212" s="166"/>
      <c r="U212" s="166"/>
      <c r="V212" s="166"/>
      <c r="W212" s="199"/>
      <c r="X212" s="172"/>
      <c r="Y212" s="200"/>
      <c r="Z212" s="194"/>
      <c r="AA212" s="166"/>
      <c r="AB212" s="166"/>
      <c r="AC212" s="166"/>
      <c r="AD212" s="166"/>
      <c r="AE212" s="166"/>
      <c r="AF212" s="166"/>
      <c r="AG212" s="166"/>
      <c r="AH212" s="166"/>
      <c r="AI212" s="166"/>
      <c r="AJ212" s="17"/>
      <c r="AK212" s="17"/>
      <c r="AL212" s="17"/>
      <c r="AM212" s="17"/>
    </row>
    <row r="213" spans="2:39" s="2" customFormat="1">
      <c r="D213" s="37"/>
      <c r="I213" s="18"/>
      <c r="K213" s="213"/>
      <c r="L213" s="209"/>
      <c r="M213" s="241"/>
      <c r="N213" s="240"/>
      <c r="O213" s="242"/>
      <c r="P213" s="215"/>
      <c r="Q213" s="215"/>
      <c r="T213" s="166"/>
      <c r="U213" s="166"/>
      <c r="V213" s="166"/>
      <c r="W213" s="199"/>
      <c r="X213" s="172"/>
      <c r="Y213" s="200"/>
      <c r="Z213" s="194"/>
      <c r="AA213" s="166"/>
      <c r="AB213" s="166"/>
      <c r="AC213" s="166"/>
      <c r="AD213" s="166"/>
      <c r="AE213" s="166"/>
      <c r="AF213" s="166"/>
      <c r="AG213" s="166"/>
      <c r="AH213" s="166"/>
      <c r="AI213" s="166"/>
      <c r="AJ213" s="17"/>
      <c r="AK213" s="17"/>
      <c r="AL213" s="17"/>
      <c r="AM213" s="17"/>
    </row>
    <row r="214" spans="2:39" s="2" customFormat="1" ht="15.5">
      <c r="B214" s="2">
        <v>164</v>
      </c>
      <c r="C214" s="2">
        <v>2</v>
      </c>
      <c r="D214" s="37" t="s">
        <v>130</v>
      </c>
      <c r="E214" s="2" t="s">
        <v>131</v>
      </c>
      <c r="K214" s="213"/>
      <c r="L214" s="213"/>
      <c r="M214" s="213"/>
      <c r="T214" s="166" t="s">
        <v>376</v>
      </c>
      <c r="U214" s="166"/>
      <c r="V214" s="197" t="s">
        <v>544</v>
      </c>
      <c r="W214" s="167" t="s">
        <v>608</v>
      </c>
      <c r="X214" s="167" t="s">
        <v>425</v>
      </c>
      <c r="Y214" s="167"/>
      <c r="Z214" s="168" t="s">
        <v>22</v>
      </c>
      <c r="AA214" s="166" t="s">
        <v>539</v>
      </c>
      <c r="AB214" s="169" t="s">
        <v>545</v>
      </c>
      <c r="AC214" s="166"/>
      <c r="AD214" s="166"/>
      <c r="AE214" s="166"/>
      <c r="AF214" s="166" t="s">
        <v>562</v>
      </c>
      <c r="AG214" s="166"/>
      <c r="AH214" s="166"/>
      <c r="AI214" s="166"/>
      <c r="AJ214" s="17"/>
      <c r="AK214" s="17"/>
      <c r="AL214" s="17"/>
      <c r="AM214" s="17"/>
    </row>
    <row r="215" spans="2:39" s="2" customFormat="1" ht="147" customHeight="1">
      <c r="B215" s="2">
        <v>165</v>
      </c>
      <c r="D215" s="37"/>
      <c r="K215" s="213"/>
      <c r="L215" s="213"/>
      <c r="M215" s="213"/>
      <c r="T215" s="166" t="s">
        <v>376</v>
      </c>
      <c r="U215" s="166"/>
      <c r="V215" s="166" t="s">
        <v>556</v>
      </c>
      <c r="W215" s="167" t="s">
        <v>608</v>
      </c>
      <c r="X215" s="167" t="s">
        <v>425</v>
      </c>
      <c r="Y215" s="167"/>
      <c r="Z215" s="168" t="s">
        <v>22</v>
      </c>
      <c r="AA215" s="166" t="s">
        <v>539</v>
      </c>
      <c r="AB215" s="169" t="s">
        <v>540</v>
      </c>
      <c r="AC215" s="166"/>
      <c r="AD215" s="166"/>
      <c r="AE215" s="166"/>
      <c r="AF215" s="166"/>
      <c r="AG215" s="166"/>
      <c r="AH215" s="166"/>
      <c r="AI215" s="166"/>
      <c r="AJ215" s="17"/>
      <c r="AK215" s="17"/>
      <c r="AL215" s="17"/>
      <c r="AM215" s="17"/>
    </row>
    <row r="216" spans="2:39" s="2" customFormat="1" ht="87">
      <c r="B216" s="2">
        <v>166</v>
      </c>
      <c r="D216" s="37" t="s">
        <v>117</v>
      </c>
      <c r="E216" s="2" t="s">
        <v>118</v>
      </c>
      <c r="F216" s="2" t="s">
        <v>2553</v>
      </c>
      <c r="I216" s="2" t="s">
        <v>376</v>
      </c>
      <c r="K216" s="213" t="s">
        <v>2555</v>
      </c>
      <c r="L216" s="209" t="s">
        <v>2321</v>
      </c>
      <c r="M216" s="218" t="s">
        <v>2322</v>
      </c>
      <c r="N216" s="213" t="s">
        <v>2323</v>
      </c>
      <c r="O216" s="216" t="s">
        <v>22</v>
      </c>
      <c r="P216" s="215" t="s">
        <v>2554</v>
      </c>
      <c r="Q216" s="219" t="s">
        <v>2550</v>
      </c>
      <c r="T216" s="166" t="s">
        <v>376</v>
      </c>
      <c r="U216" s="166"/>
      <c r="V216" s="166" t="s">
        <v>749</v>
      </c>
      <c r="W216" s="167" t="s">
        <v>649</v>
      </c>
      <c r="X216" s="167" t="s">
        <v>650</v>
      </c>
      <c r="Y216" s="167">
        <v>0</v>
      </c>
      <c r="Z216" s="168" t="s">
        <v>22</v>
      </c>
      <c r="AA216" s="166" t="s">
        <v>748</v>
      </c>
      <c r="AB216" s="169" t="s">
        <v>747</v>
      </c>
      <c r="AC216" s="166" t="s">
        <v>915</v>
      </c>
      <c r="AD216" s="166"/>
      <c r="AE216" s="166" t="s">
        <v>604</v>
      </c>
      <c r="AF216" s="166" t="s">
        <v>549</v>
      </c>
      <c r="AG216" s="166"/>
      <c r="AH216" s="166"/>
      <c r="AI216" s="166"/>
      <c r="AJ216" s="17"/>
      <c r="AK216" s="17"/>
      <c r="AL216" s="17"/>
      <c r="AM216" s="17"/>
    </row>
    <row r="217" spans="2:39" s="2" customFormat="1" ht="409.5">
      <c r="B217" s="2">
        <v>167</v>
      </c>
      <c r="D217" s="37" t="s">
        <v>18</v>
      </c>
      <c r="E217" s="2" t="s">
        <v>118</v>
      </c>
      <c r="I217" s="18" t="s">
        <v>376</v>
      </c>
      <c r="K217" s="2" t="s">
        <v>3065</v>
      </c>
      <c r="L217" s="209" t="s">
        <v>2784</v>
      </c>
      <c r="M217" s="239" t="s">
        <v>1598</v>
      </c>
      <c r="N217" s="217"/>
      <c r="O217" s="216" t="s">
        <v>22</v>
      </c>
      <c r="P217" s="215" t="s">
        <v>2870</v>
      </c>
      <c r="Q217" s="215" t="s">
        <v>2871</v>
      </c>
      <c r="S217" s="17" t="s">
        <v>3119</v>
      </c>
      <c r="T217" s="166" t="s">
        <v>376</v>
      </c>
      <c r="U217" s="166"/>
      <c r="V217" s="166" t="s">
        <v>742</v>
      </c>
      <c r="W217" s="167" t="s">
        <v>649</v>
      </c>
      <c r="X217" s="167" t="s">
        <v>650</v>
      </c>
      <c r="Y217" s="167">
        <v>0</v>
      </c>
      <c r="Z217" s="168" t="s">
        <v>22</v>
      </c>
      <c r="AA217" s="166" t="s">
        <v>554</v>
      </c>
      <c r="AB217" s="169" t="s">
        <v>740</v>
      </c>
      <c r="AC217" s="166"/>
      <c r="AD217" s="166"/>
      <c r="AE217" s="166"/>
      <c r="AF217" s="166"/>
      <c r="AG217" s="166"/>
      <c r="AH217" s="166"/>
      <c r="AI217" s="166"/>
      <c r="AJ217" s="17"/>
      <c r="AK217" s="17"/>
      <c r="AL217" s="17"/>
      <c r="AM217" s="17"/>
    </row>
    <row r="218" spans="2:39" s="2" customFormat="1" ht="46.5" customHeight="1">
      <c r="B218" s="2">
        <v>168</v>
      </c>
      <c r="D218" s="37"/>
      <c r="E218" s="2" t="s">
        <v>118</v>
      </c>
      <c r="K218" s="213"/>
      <c r="L218" s="213"/>
      <c r="M218" s="213"/>
      <c r="T218" s="166" t="s">
        <v>376</v>
      </c>
      <c r="U218" s="166"/>
      <c r="V218" s="166" t="s">
        <v>546</v>
      </c>
      <c r="W218" s="167" t="s">
        <v>608</v>
      </c>
      <c r="X218" s="167" t="s">
        <v>425</v>
      </c>
      <c r="Y218" s="167"/>
      <c r="Z218" s="168" t="s">
        <v>22</v>
      </c>
      <c r="AA218" s="166" t="s">
        <v>547</v>
      </c>
      <c r="AB218" s="169" t="s">
        <v>548</v>
      </c>
      <c r="AC218" s="166"/>
      <c r="AD218" s="166" t="s">
        <v>610</v>
      </c>
      <c r="AE218" s="166" t="s">
        <v>604</v>
      </c>
      <c r="AF218" s="166" t="s">
        <v>549</v>
      </c>
      <c r="AG218" s="166"/>
      <c r="AH218" s="168" t="s">
        <v>22</v>
      </c>
      <c r="AI218" s="195"/>
      <c r="AJ218" s="17"/>
      <c r="AK218" s="17"/>
      <c r="AL218" s="17"/>
      <c r="AM218" s="17"/>
    </row>
    <row r="219" spans="2:39" s="2" customFormat="1" ht="83.5" customHeight="1">
      <c r="B219" s="2">
        <v>169</v>
      </c>
      <c r="D219" s="37"/>
      <c r="E219" s="2" t="s">
        <v>118</v>
      </c>
      <c r="K219" s="213"/>
      <c r="L219" s="213"/>
      <c r="M219" s="213"/>
      <c r="T219" s="166" t="s">
        <v>376</v>
      </c>
      <c r="U219" s="166"/>
      <c r="V219" s="166" t="s">
        <v>616</v>
      </c>
      <c r="W219" s="166" t="s">
        <v>604</v>
      </c>
      <c r="X219" s="166" t="s">
        <v>549</v>
      </c>
      <c r="Y219" s="166"/>
      <c r="Z219" s="168" t="s">
        <v>22</v>
      </c>
      <c r="AA219" s="166" t="s">
        <v>554</v>
      </c>
      <c r="AB219" s="169" t="s">
        <v>615</v>
      </c>
      <c r="AC219" s="166"/>
      <c r="AD219" s="166"/>
      <c r="AE219" s="166"/>
      <c r="AF219" s="166"/>
      <c r="AG219" s="166"/>
      <c r="AH219" s="168"/>
      <c r="AI219" s="195"/>
      <c r="AJ219" s="17"/>
      <c r="AK219" s="17"/>
      <c r="AL219" s="17"/>
      <c r="AM219" s="17"/>
    </row>
    <row r="220" spans="2:39" s="2" customFormat="1" ht="83.5" customHeight="1">
      <c r="B220" s="2">
        <v>170</v>
      </c>
      <c r="D220" s="37"/>
      <c r="E220" s="2" t="s">
        <v>750</v>
      </c>
      <c r="I220" s="2" t="s">
        <v>376</v>
      </c>
      <c r="K220" s="213" t="s">
        <v>3120</v>
      </c>
      <c r="L220" s="249" t="s">
        <v>3009</v>
      </c>
      <c r="M220" s="213" t="s">
        <v>3012</v>
      </c>
      <c r="O220" s="250" t="s">
        <v>22</v>
      </c>
      <c r="P220" s="2" t="s">
        <v>3011</v>
      </c>
      <c r="Q220" s="2" t="s">
        <v>3010</v>
      </c>
      <c r="T220" s="166" t="s">
        <v>376</v>
      </c>
      <c r="U220" s="166"/>
      <c r="V220" s="166" t="s">
        <v>752</v>
      </c>
      <c r="W220" s="167" t="s">
        <v>608</v>
      </c>
      <c r="X220" s="167" t="s">
        <v>425</v>
      </c>
      <c r="Y220" s="167"/>
      <c r="Z220" s="168" t="s">
        <v>22</v>
      </c>
      <c r="AA220" s="166" t="s">
        <v>552</v>
      </c>
      <c r="AB220" s="169" t="s">
        <v>551</v>
      </c>
      <c r="AC220" s="166"/>
      <c r="AD220" s="166"/>
      <c r="AE220" s="166" t="s">
        <v>751</v>
      </c>
      <c r="AF220" s="166" t="s">
        <v>2182</v>
      </c>
      <c r="AG220" s="166"/>
      <c r="AH220" s="168"/>
      <c r="AI220" s="195"/>
      <c r="AJ220" s="17"/>
      <c r="AK220" s="17"/>
      <c r="AL220" s="17"/>
      <c r="AM220" s="17"/>
    </row>
    <row r="221" spans="2:39" s="2" customFormat="1">
      <c r="B221" s="2">
        <v>171</v>
      </c>
      <c r="D221" s="37"/>
      <c r="E221" s="2" t="s">
        <v>360</v>
      </c>
      <c r="K221" s="213"/>
      <c r="L221" s="213"/>
      <c r="M221" s="213"/>
      <c r="T221" s="166"/>
      <c r="U221" s="166"/>
      <c r="V221" s="166"/>
      <c r="W221" s="166"/>
      <c r="X221" s="166"/>
      <c r="Y221" s="166"/>
      <c r="Z221" s="170"/>
      <c r="AA221" s="166"/>
      <c r="AB221" s="171"/>
      <c r="AC221" s="166"/>
      <c r="AD221" s="166"/>
      <c r="AE221" s="166"/>
      <c r="AF221" s="183"/>
      <c r="AG221" s="166"/>
      <c r="AH221" s="195"/>
      <c r="AI221" s="195"/>
      <c r="AJ221" s="17"/>
      <c r="AK221" s="17"/>
      <c r="AL221" s="17"/>
      <c r="AM221" s="17"/>
    </row>
    <row r="222" spans="2:39" s="2" customFormat="1" ht="58">
      <c r="B222" s="2">
        <v>172</v>
      </c>
      <c r="D222" s="37"/>
      <c r="E222" s="2" t="s">
        <v>543</v>
      </c>
      <c r="K222" s="213"/>
      <c r="L222" s="213"/>
      <c r="M222" s="213"/>
      <c r="T222" s="166" t="s">
        <v>376</v>
      </c>
      <c r="U222" s="166"/>
      <c r="V222" s="166" t="s">
        <v>542</v>
      </c>
      <c r="W222" s="167" t="s">
        <v>608</v>
      </c>
      <c r="X222" s="167" t="s">
        <v>425</v>
      </c>
      <c r="Y222" s="167"/>
      <c r="Z222" s="168" t="s">
        <v>22</v>
      </c>
      <c r="AA222" s="166" t="s">
        <v>539</v>
      </c>
      <c r="AB222" s="169" t="s">
        <v>545</v>
      </c>
      <c r="AC222" s="166"/>
      <c r="AD222" s="166"/>
      <c r="AE222" s="166"/>
      <c r="AF222" s="183"/>
      <c r="AG222" s="166"/>
      <c r="AH222" s="195"/>
      <c r="AI222" s="195"/>
      <c r="AJ222" s="17"/>
      <c r="AK222" s="17"/>
      <c r="AL222" s="17"/>
      <c r="AM222" s="17"/>
    </row>
    <row r="223" spans="2:39" s="2" customFormat="1" ht="222" customHeight="1">
      <c r="B223" s="2">
        <v>173</v>
      </c>
      <c r="D223" s="37"/>
      <c r="E223" s="2" t="s">
        <v>543</v>
      </c>
      <c r="F223" s="2" t="s">
        <v>122</v>
      </c>
      <c r="K223" s="213"/>
      <c r="L223" s="213"/>
      <c r="M223" s="213"/>
      <c r="T223" s="166" t="s">
        <v>376</v>
      </c>
      <c r="U223" s="166"/>
      <c r="V223" s="166" t="s">
        <v>611</v>
      </c>
      <c r="W223" s="166" t="s">
        <v>604</v>
      </c>
      <c r="X223" s="166" t="s">
        <v>549</v>
      </c>
      <c r="Y223" s="166"/>
      <c r="Z223" s="168" t="s">
        <v>22</v>
      </c>
      <c r="AA223" s="166" t="s">
        <v>432</v>
      </c>
      <c r="AB223" s="169" t="s">
        <v>612</v>
      </c>
      <c r="AC223" s="166"/>
      <c r="AD223" s="166"/>
      <c r="AE223" s="166"/>
      <c r="AF223" s="183"/>
      <c r="AG223" s="166"/>
      <c r="AH223" s="195"/>
      <c r="AI223" s="195"/>
      <c r="AJ223" s="17"/>
      <c r="AK223" s="17"/>
      <c r="AL223" s="17"/>
      <c r="AM223" s="17"/>
    </row>
    <row r="224" spans="2:39" s="2" customFormat="1" ht="99" customHeight="1">
      <c r="B224" s="2">
        <v>174</v>
      </c>
      <c r="D224" s="37"/>
      <c r="E224" s="2" t="s">
        <v>550</v>
      </c>
      <c r="K224" s="213"/>
      <c r="L224" s="213"/>
      <c r="M224" s="213"/>
      <c r="T224" s="166" t="s">
        <v>376</v>
      </c>
      <c r="U224" s="166"/>
      <c r="V224" s="166" t="s">
        <v>613</v>
      </c>
      <c r="W224" s="167" t="s">
        <v>608</v>
      </c>
      <c r="X224" s="167" t="s">
        <v>425</v>
      </c>
      <c r="Y224" s="167"/>
      <c r="Z224" s="168" t="s">
        <v>22</v>
      </c>
      <c r="AA224" s="166" t="s">
        <v>552</v>
      </c>
      <c r="AB224" s="169" t="s">
        <v>551</v>
      </c>
      <c r="AC224" s="166"/>
      <c r="AD224" s="166"/>
      <c r="AE224" s="166"/>
      <c r="AF224" s="183"/>
      <c r="AG224" s="166"/>
      <c r="AH224" s="195"/>
      <c r="AI224" s="195"/>
      <c r="AJ224" s="17"/>
      <c r="AK224" s="17"/>
      <c r="AL224" s="17"/>
      <c r="AM224" s="17"/>
    </row>
    <row r="225" spans="2:39" s="2" customFormat="1" ht="232">
      <c r="B225" s="2">
        <v>175</v>
      </c>
      <c r="D225" s="37"/>
      <c r="E225" s="2" t="s">
        <v>134</v>
      </c>
      <c r="K225" s="213"/>
      <c r="L225" s="213"/>
      <c r="M225" s="213"/>
      <c r="T225" s="166" t="s">
        <v>376</v>
      </c>
      <c r="U225" s="166"/>
      <c r="V225" s="166" t="s">
        <v>741</v>
      </c>
      <c r="W225" s="166" t="s">
        <v>604</v>
      </c>
      <c r="X225" s="166" t="s">
        <v>549</v>
      </c>
      <c r="Y225" s="166"/>
      <c r="Z225" s="168" t="s">
        <v>22</v>
      </c>
      <c r="AA225" s="166" t="s">
        <v>539</v>
      </c>
      <c r="AB225" s="169" t="s">
        <v>612</v>
      </c>
      <c r="AC225" s="166"/>
      <c r="AD225" s="166"/>
      <c r="AE225" s="166"/>
      <c r="AF225" s="183"/>
      <c r="AG225" s="166"/>
      <c r="AH225" s="195"/>
      <c r="AI225" s="195"/>
      <c r="AJ225" s="17"/>
      <c r="AK225" s="17"/>
      <c r="AL225" s="17"/>
      <c r="AM225" s="17"/>
    </row>
    <row r="226" spans="2:39" s="2" customFormat="1" ht="149.5" customHeight="1">
      <c r="B226" s="2">
        <v>176</v>
      </c>
      <c r="D226" s="37"/>
      <c r="E226" s="2" t="s">
        <v>308</v>
      </c>
      <c r="G226" s="2" t="s">
        <v>2527</v>
      </c>
      <c r="I226" s="2" t="s">
        <v>376</v>
      </c>
      <c r="K226" s="213" t="s">
        <v>2558</v>
      </c>
      <c r="L226" s="209" t="s">
        <v>2321</v>
      </c>
      <c r="M226" s="218" t="s">
        <v>2322</v>
      </c>
      <c r="N226" s="213" t="s">
        <v>2323</v>
      </c>
      <c r="O226" s="216" t="s">
        <v>22</v>
      </c>
      <c r="P226" s="215" t="s">
        <v>2556</v>
      </c>
      <c r="Q226" s="219" t="s">
        <v>2557</v>
      </c>
      <c r="R226" s="2" t="s">
        <v>2528</v>
      </c>
      <c r="S226" s="17"/>
      <c r="T226" s="166"/>
      <c r="U226" s="166"/>
      <c r="V226" s="166"/>
      <c r="W226" s="173"/>
      <c r="X226" s="174"/>
      <c r="Y226" s="174"/>
      <c r="Z226" s="181"/>
      <c r="AA226" s="166"/>
      <c r="AB226" s="171"/>
      <c r="AC226" s="166"/>
      <c r="AD226" s="166"/>
      <c r="AE226" s="166"/>
      <c r="AF226" s="183"/>
      <c r="AG226" s="166"/>
      <c r="AH226" s="195"/>
      <c r="AI226" s="195"/>
      <c r="AJ226" s="17"/>
      <c r="AK226" s="17"/>
      <c r="AL226" s="17"/>
      <c r="AM226" s="17"/>
    </row>
    <row r="227" spans="2:39" s="2" customFormat="1" ht="29">
      <c r="B227" s="2">
        <v>177</v>
      </c>
      <c r="D227" s="37"/>
      <c r="E227" s="2" t="s">
        <v>89</v>
      </c>
      <c r="F227" s="2" t="s">
        <v>119</v>
      </c>
      <c r="K227" s="213"/>
      <c r="L227" s="213"/>
      <c r="M227" s="213"/>
      <c r="T227" s="166" t="s">
        <v>376</v>
      </c>
      <c r="U227" s="166"/>
      <c r="V227" s="166" t="s">
        <v>614</v>
      </c>
      <c r="W227" s="166" t="s">
        <v>604</v>
      </c>
      <c r="X227" s="166" t="s">
        <v>549</v>
      </c>
      <c r="Y227" s="166"/>
      <c r="Z227" s="168" t="s">
        <v>22</v>
      </c>
      <c r="AA227" s="166" t="s">
        <v>595</v>
      </c>
      <c r="AB227" s="169" t="s">
        <v>615</v>
      </c>
      <c r="AC227" s="166"/>
      <c r="AD227" s="166"/>
      <c r="AE227" s="166"/>
      <c r="AF227" s="166"/>
      <c r="AG227" s="166"/>
      <c r="AH227" s="166"/>
      <c r="AI227" s="166"/>
      <c r="AJ227" s="17"/>
      <c r="AK227" s="17"/>
      <c r="AL227" s="17"/>
      <c r="AM227" s="17"/>
    </row>
    <row r="228" spans="2:39" s="2" customFormat="1" ht="78" customHeight="1">
      <c r="B228" s="2">
        <v>178</v>
      </c>
      <c r="D228" s="37"/>
      <c r="E228" s="2" t="s">
        <v>120</v>
      </c>
      <c r="F228" s="2" t="s">
        <v>121</v>
      </c>
      <c r="K228" s="213"/>
      <c r="L228" s="213"/>
      <c r="M228" s="213"/>
      <c r="T228" s="166" t="s">
        <v>376</v>
      </c>
      <c r="U228" s="166"/>
      <c r="V228" s="166" t="s">
        <v>625</v>
      </c>
      <c r="W228" s="166" t="s">
        <v>604</v>
      </c>
      <c r="X228" s="166" t="s">
        <v>549</v>
      </c>
      <c r="Y228" s="166"/>
      <c r="Z228" s="168" t="s">
        <v>22</v>
      </c>
      <c r="AA228" s="166" t="s">
        <v>626</v>
      </c>
      <c r="AB228" s="169" t="s">
        <v>627</v>
      </c>
      <c r="AC228" s="166"/>
      <c r="AD228" s="166"/>
      <c r="AE228" s="166"/>
      <c r="AF228" s="166"/>
      <c r="AG228" s="166"/>
      <c r="AH228" s="166"/>
      <c r="AI228" s="166"/>
      <c r="AJ228" s="17"/>
      <c r="AK228" s="17"/>
      <c r="AL228" s="17"/>
      <c r="AM228" s="17"/>
    </row>
    <row r="229" spans="2:39" s="2" customFormat="1" ht="129" customHeight="1">
      <c r="B229" s="2">
        <v>179</v>
      </c>
      <c r="D229" s="37"/>
      <c r="F229" s="2" t="s">
        <v>916</v>
      </c>
      <c r="K229" s="213"/>
      <c r="L229" s="213"/>
      <c r="M229" s="213"/>
      <c r="T229" s="166" t="s">
        <v>376</v>
      </c>
      <c r="U229" s="166"/>
      <c r="V229" s="166" t="s">
        <v>629</v>
      </c>
      <c r="W229" s="166" t="s">
        <v>604</v>
      </c>
      <c r="X229" s="166" t="s">
        <v>549</v>
      </c>
      <c r="Y229" s="166"/>
      <c r="Z229" s="168" t="s">
        <v>22</v>
      </c>
      <c r="AA229" s="166" t="s">
        <v>630</v>
      </c>
      <c r="AB229" s="169" t="s">
        <v>627</v>
      </c>
      <c r="AC229" s="166"/>
      <c r="AD229" s="166"/>
      <c r="AE229" s="166"/>
      <c r="AF229" s="166"/>
      <c r="AG229" s="166"/>
      <c r="AH229" s="166"/>
      <c r="AI229" s="166"/>
      <c r="AJ229" s="17"/>
      <c r="AK229" s="17"/>
      <c r="AL229" s="17"/>
      <c r="AM229" s="17"/>
    </row>
    <row r="230" spans="2:39" s="2" customFormat="1" ht="29">
      <c r="B230" s="2">
        <v>180</v>
      </c>
      <c r="D230" s="37"/>
      <c r="E230" s="2" t="s">
        <v>631</v>
      </c>
      <c r="K230" s="213"/>
      <c r="L230" s="213"/>
      <c r="M230" s="213"/>
      <c r="T230" s="166" t="s">
        <v>376</v>
      </c>
      <c r="U230" s="166"/>
      <c r="V230" s="166" t="s">
        <v>634</v>
      </c>
      <c r="W230" s="166" t="s">
        <v>604</v>
      </c>
      <c r="X230" s="166" t="s">
        <v>549</v>
      </c>
      <c r="Y230" s="166"/>
      <c r="Z230" s="168" t="s">
        <v>22</v>
      </c>
      <c r="AA230" s="166" t="s">
        <v>632</v>
      </c>
      <c r="AB230" s="169" t="s">
        <v>633</v>
      </c>
      <c r="AC230" s="166"/>
      <c r="AD230" s="166"/>
      <c r="AE230" s="166"/>
      <c r="AF230" s="166"/>
      <c r="AG230" s="166"/>
      <c r="AH230" s="166"/>
      <c r="AI230" s="166"/>
      <c r="AJ230" s="17"/>
      <c r="AK230" s="17"/>
      <c r="AL230" s="17"/>
      <c r="AM230" s="17"/>
    </row>
    <row r="231" spans="2:39" s="2" customFormat="1">
      <c r="B231" s="2">
        <v>181</v>
      </c>
      <c r="C231" s="2" t="s">
        <v>18</v>
      </c>
      <c r="D231" s="37"/>
      <c r="E231" s="2" t="s">
        <v>123</v>
      </c>
      <c r="F231" s="2" t="s">
        <v>124</v>
      </c>
      <c r="K231" s="213"/>
      <c r="L231" s="213"/>
      <c r="M231" s="213"/>
      <c r="T231" s="166"/>
      <c r="U231" s="166"/>
      <c r="V231" s="166"/>
      <c r="W231" s="166"/>
      <c r="X231" s="166"/>
      <c r="Y231" s="166"/>
      <c r="Z231" s="181"/>
      <c r="AA231" s="166"/>
      <c r="AB231" s="166"/>
      <c r="AC231" s="166"/>
      <c r="AD231" s="166"/>
      <c r="AE231" s="166"/>
      <c r="AF231" s="166"/>
      <c r="AG231" s="166"/>
      <c r="AH231" s="166"/>
      <c r="AI231" s="166"/>
      <c r="AJ231" s="17"/>
      <c r="AK231" s="17"/>
      <c r="AL231" s="17"/>
      <c r="AM231" s="17"/>
    </row>
    <row r="232" spans="2:39" s="2" customFormat="1" ht="29">
      <c r="B232" s="2">
        <v>182</v>
      </c>
      <c r="C232" s="2">
        <v>1</v>
      </c>
      <c r="D232" s="37"/>
      <c r="E232" s="17" t="s">
        <v>125</v>
      </c>
      <c r="F232" s="17" t="s">
        <v>126</v>
      </c>
      <c r="G232" s="2" t="s">
        <v>127</v>
      </c>
      <c r="K232" s="213"/>
      <c r="L232" s="213"/>
      <c r="M232" s="213"/>
      <c r="T232" s="166" t="s">
        <v>376</v>
      </c>
      <c r="U232" s="166"/>
      <c r="V232" s="166" t="s">
        <v>917</v>
      </c>
      <c r="W232" s="167" t="s">
        <v>823</v>
      </c>
      <c r="X232" s="167" t="s">
        <v>664</v>
      </c>
      <c r="Y232" s="167">
        <v>0</v>
      </c>
      <c r="Z232" s="168" t="s">
        <v>22</v>
      </c>
      <c r="AA232" s="167" t="s">
        <v>710</v>
      </c>
      <c r="AB232" s="167" t="s">
        <v>918</v>
      </c>
      <c r="AC232" s="166"/>
      <c r="AD232" s="166"/>
      <c r="AE232" s="166"/>
      <c r="AF232" s="166"/>
      <c r="AG232" s="166"/>
      <c r="AH232" s="166"/>
      <c r="AI232" s="166"/>
      <c r="AJ232" s="17"/>
      <c r="AK232" s="17"/>
      <c r="AL232" s="17"/>
      <c r="AM232" s="17"/>
    </row>
    <row r="233" spans="2:39" s="2" customFormat="1" ht="58">
      <c r="B233" s="2">
        <v>183</v>
      </c>
      <c r="D233" s="37"/>
      <c r="E233" s="2" t="s">
        <v>617</v>
      </c>
      <c r="K233" s="213"/>
      <c r="L233" s="209"/>
      <c r="M233" s="218"/>
      <c r="N233" s="213"/>
      <c r="O233" s="216"/>
      <c r="P233" s="215"/>
      <c r="Q233" s="219"/>
      <c r="T233" s="166" t="s">
        <v>376</v>
      </c>
      <c r="U233" s="166"/>
      <c r="V233" s="166" t="s">
        <v>622</v>
      </c>
      <c r="W233" s="166" t="s">
        <v>604</v>
      </c>
      <c r="X233" s="166" t="s">
        <v>549</v>
      </c>
      <c r="Y233" s="166"/>
      <c r="Z233" s="168" t="s">
        <v>22</v>
      </c>
      <c r="AA233" s="166" t="s">
        <v>619</v>
      </c>
      <c r="AB233" s="169" t="s">
        <v>621</v>
      </c>
      <c r="AC233" s="166"/>
      <c r="AD233" s="166"/>
      <c r="AE233" s="166"/>
      <c r="AF233" s="166"/>
      <c r="AG233" s="166"/>
      <c r="AH233" s="166"/>
      <c r="AI233" s="166"/>
      <c r="AJ233" s="17"/>
      <c r="AK233" s="17"/>
      <c r="AL233" s="17"/>
      <c r="AM233" s="17"/>
    </row>
    <row r="234" spans="2:39" s="2" customFormat="1" ht="145">
      <c r="B234" s="2">
        <v>184</v>
      </c>
      <c r="D234" s="37"/>
      <c r="E234" s="2" t="s">
        <v>618</v>
      </c>
      <c r="K234" s="213"/>
      <c r="L234" s="213"/>
      <c r="M234" s="213"/>
      <c r="T234" s="166" t="s">
        <v>376</v>
      </c>
      <c r="U234" s="166"/>
      <c r="V234" s="166" t="s">
        <v>623</v>
      </c>
      <c r="W234" s="166" t="s">
        <v>604</v>
      </c>
      <c r="X234" s="166" t="s">
        <v>549</v>
      </c>
      <c r="Y234" s="166"/>
      <c r="Z234" s="168" t="s">
        <v>22</v>
      </c>
      <c r="AA234" s="166" t="s">
        <v>620</v>
      </c>
      <c r="AB234" s="169" t="s">
        <v>621</v>
      </c>
      <c r="AC234" s="166"/>
      <c r="AD234" s="166"/>
      <c r="AE234" s="166"/>
      <c r="AF234" s="166"/>
      <c r="AG234" s="166"/>
      <c r="AH234" s="166"/>
      <c r="AI234" s="166"/>
      <c r="AJ234" s="17"/>
      <c r="AK234" s="17"/>
      <c r="AL234" s="17"/>
      <c r="AM234" s="17"/>
    </row>
    <row r="235" spans="2:39" s="2" customFormat="1">
      <c r="B235" s="2">
        <v>185</v>
      </c>
      <c r="D235" s="37" t="s">
        <v>128</v>
      </c>
      <c r="E235" s="2" t="s">
        <v>89</v>
      </c>
      <c r="F235" s="2" t="s">
        <v>129</v>
      </c>
      <c r="K235" s="213"/>
      <c r="L235" s="213"/>
      <c r="M235" s="213"/>
      <c r="T235" s="166" t="s">
        <v>376</v>
      </c>
      <c r="U235" s="166"/>
      <c r="V235" s="166" t="s">
        <v>624</v>
      </c>
      <c r="W235" s="171" t="s">
        <v>1598</v>
      </c>
      <c r="X235" s="166"/>
      <c r="Y235" s="166"/>
      <c r="Z235" s="166"/>
      <c r="AA235" s="166"/>
      <c r="AB235" s="166"/>
      <c r="AC235" s="166"/>
      <c r="AD235" s="166"/>
      <c r="AE235" s="166"/>
      <c r="AF235" s="166"/>
      <c r="AG235" s="166"/>
      <c r="AH235" s="166"/>
      <c r="AI235" s="166"/>
      <c r="AJ235" s="17"/>
      <c r="AK235" s="17"/>
      <c r="AL235" s="17"/>
      <c r="AM235" s="17"/>
    </row>
    <row r="236" spans="2:39" s="2" customFormat="1" ht="115" customHeight="1">
      <c r="B236" s="2">
        <v>186</v>
      </c>
      <c r="D236" s="37" t="s">
        <v>541</v>
      </c>
      <c r="E236" s="2" t="s">
        <v>131</v>
      </c>
      <c r="K236" s="213"/>
      <c r="L236" s="213"/>
      <c r="M236" s="213"/>
      <c r="T236" s="166" t="s">
        <v>376</v>
      </c>
      <c r="U236" s="166"/>
      <c r="V236" s="166" t="s">
        <v>557</v>
      </c>
      <c r="W236" s="167" t="s">
        <v>608</v>
      </c>
      <c r="X236" s="167" t="s">
        <v>425</v>
      </c>
      <c r="Y236" s="167"/>
      <c r="Z236" s="168" t="s">
        <v>22</v>
      </c>
      <c r="AA236" s="166" t="s">
        <v>539</v>
      </c>
      <c r="AB236" s="169" t="s">
        <v>540</v>
      </c>
      <c r="AC236" s="166"/>
      <c r="AD236" s="166" t="s">
        <v>603</v>
      </c>
      <c r="AE236" s="166" t="s">
        <v>576</v>
      </c>
      <c r="AF236" s="166" t="s">
        <v>563</v>
      </c>
      <c r="AG236" s="166"/>
      <c r="AH236" s="168" t="s">
        <v>22</v>
      </c>
      <c r="AI236" s="166"/>
      <c r="AJ236" s="17"/>
      <c r="AK236" s="17"/>
      <c r="AL236" s="17"/>
      <c r="AM236" s="17"/>
    </row>
    <row r="237" spans="2:39" s="2" customFormat="1" ht="154.5" customHeight="1">
      <c r="B237" s="2">
        <v>187</v>
      </c>
      <c r="D237" s="37"/>
      <c r="E237" s="2" t="s">
        <v>589</v>
      </c>
      <c r="K237" s="213"/>
      <c r="L237" s="213"/>
      <c r="M237" s="213"/>
      <c r="T237" s="166" t="s">
        <v>376</v>
      </c>
      <c r="U237" s="166"/>
      <c r="V237" s="166" t="s">
        <v>600</v>
      </c>
      <c r="W237" s="166" t="s">
        <v>576</v>
      </c>
      <c r="X237" s="166" t="s">
        <v>563</v>
      </c>
      <c r="Y237" s="166"/>
      <c r="Z237" s="168" t="s">
        <v>22</v>
      </c>
      <c r="AA237" s="166" t="s">
        <v>602</v>
      </c>
      <c r="AB237" s="169" t="s">
        <v>601</v>
      </c>
      <c r="AC237" s="166"/>
      <c r="AD237" s="166"/>
      <c r="AE237" s="166"/>
      <c r="AF237" s="170"/>
      <c r="AG237" s="166"/>
      <c r="AH237" s="168"/>
      <c r="AI237" s="166"/>
      <c r="AJ237" s="17"/>
      <c r="AK237" s="17"/>
      <c r="AL237" s="17"/>
      <c r="AM237" s="17"/>
    </row>
    <row r="238" spans="2:39" s="2" customFormat="1" ht="31">
      <c r="B238" s="2">
        <v>188</v>
      </c>
      <c r="D238" s="37"/>
      <c r="E238" s="2" t="s">
        <v>590</v>
      </c>
      <c r="K238" s="213"/>
      <c r="L238" s="213"/>
      <c r="M238" s="213"/>
      <c r="T238" s="166" t="s">
        <v>376</v>
      </c>
      <c r="U238" s="166"/>
      <c r="V238" s="198" t="s">
        <v>597</v>
      </c>
      <c r="W238" s="166" t="s">
        <v>576</v>
      </c>
      <c r="X238" s="166" t="s">
        <v>563</v>
      </c>
      <c r="Y238" s="166"/>
      <c r="Z238" s="168" t="s">
        <v>22</v>
      </c>
      <c r="AA238" s="166" t="s">
        <v>595</v>
      </c>
      <c r="AB238" s="169" t="s">
        <v>596</v>
      </c>
      <c r="AC238" s="166"/>
      <c r="AD238" s="166"/>
      <c r="AE238" s="166"/>
      <c r="AF238" s="170"/>
      <c r="AG238" s="166"/>
      <c r="AH238" s="168"/>
      <c r="AI238" s="166"/>
      <c r="AJ238" s="17"/>
      <c r="AK238" s="17"/>
      <c r="AL238" s="17"/>
      <c r="AM238" s="17"/>
    </row>
    <row r="239" spans="2:39" s="2" customFormat="1" ht="29">
      <c r="B239" s="2">
        <v>189</v>
      </c>
      <c r="D239" s="37"/>
      <c r="E239" s="2" t="s">
        <v>593</v>
      </c>
      <c r="K239" s="213"/>
      <c r="L239" s="213"/>
      <c r="M239" s="213"/>
      <c r="T239" s="166" t="s">
        <v>376</v>
      </c>
      <c r="U239" s="166"/>
      <c r="V239" s="166" t="s">
        <v>598</v>
      </c>
      <c r="W239" s="166" t="s">
        <v>576</v>
      </c>
      <c r="X239" s="166" t="s">
        <v>563</v>
      </c>
      <c r="Y239" s="166"/>
      <c r="Z239" s="168" t="s">
        <v>22</v>
      </c>
      <c r="AA239" s="166" t="s">
        <v>554</v>
      </c>
      <c r="AB239" s="169" t="s">
        <v>594</v>
      </c>
      <c r="AC239" s="166"/>
      <c r="AD239" s="166"/>
      <c r="AE239" s="166"/>
      <c r="AF239" s="170"/>
      <c r="AG239" s="166"/>
      <c r="AH239" s="168"/>
      <c r="AI239" s="166"/>
      <c r="AJ239" s="17"/>
      <c r="AK239" s="17"/>
      <c r="AL239" s="17"/>
      <c r="AM239" s="17"/>
    </row>
    <row r="240" spans="2:39" s="2" customFormat="1" ht="103" customHeight="1">
      <c r="B240" s="2">
        <v>190</v>
      </c>
      <c r="D240" s="37"/>
      <c r="E240" s="2" t="s">
        <v>591</v>
      </c>
      <c r="I240" s="2" t="s">
        <v>376</v>
      </c>
      <c r="K240" s="213" t="s">
        <v>2654</v>
      </c>
      <c r="L240" s="209" t="s">
        <v>2318</v>
      </c>
      <c r="M240" s="217" t="s">
        <v>2324</v>
      </c>
      <c r="N240" s="217" t="s">
        <v>2325</v>
      </c>
      <c r="O240" s="216" t="s">
        <v>22</v>
      </c>
      <c r="P240" s="215" t="s">
        <v>539</v>
      </c>
      <c r="Q240" s="215" t="s">
        <v>2655</v>
      </c>
      <c r="T240" s="166" t="s">
        <v>376</v>
      </c>
      <c r="U240" s="166"/>
      <c r="V240" s="166" t="s">
        <v>599</v>
      </c>
      <c r="W240" s="166" t="s">
        <v>576</v>
      </c>
      <c r="X240" s="166" t="s">
        <v>563</v>
      </c>
      <c r="Y240" s="166"/>
      <c r="Z240" s="168" t="s">
        <v>22</v>
      </c>
      <c r="AA240" s="166" t="s">
        <v>559</v>
      </c>
      <c r="AB240" s="169" t="s">
        <v>592</v>
      </c>
      <c r="AC240" s="166"/>
      <c r="AD240" s="166"/>
      <c r="AE240" s="166"/>
      <c r="AF240" s="170"/>
      <c r="AG240" s="166"/>
      <c r="AH240" s="168"/>
      <c r="AI240" s="166"/>
      <c r="AJ240" s="17"/>
      <c r="AK240" s="17"/>
      <c r="AL240" s="17"/>
      <c r="AM240" s="17"/>
    </row>
    <row r="241" spans="2:39" s="2" customFormat="1" ht="174">
      <c r="B241" s="2">
        <v>191</v>
      </c>
      <c r="D241" s="37" t="s">
        <v>132</v>
      </c>
      <c r="E241" s="17" t="s">
        <v>133</v>
      </c>
      <c r="I241" s="2" t="s">
        <v>376</v>
      </c>
      <c r="K241" s="213" t="s">
        <v>2568</v>
      </c>
      <c r="L241" s="209" t="s">
        <v>2321</v>
      </c>
      <c r="M241" s="218" t="s">
        <v>2322</v>
      </c>
      <c r="N241" s="213" t="s">
        <v>2323</v>
      </c>
      <c r="O241" s="216" t="s">
        <v>22</v>
      </c>
      <c r="P241" s="215" t="s">
        <v>2566</v>
      </c>
      <c r="Q241" s="219" t="s">
        <v>2567</v>
      </c>
      <c r="S241" s="17"/>
      <c r="T241" s="166" t="s">
        <v>376</v>
      </c>
      <c r="U241" s="166"/>
      <c r="V241" s="166" t="s">
        <v>690</v>
      </c>
      <c r="W241" s="167" t="s">
        <v>649</v>
      </c>
      <c r="X241" s="167" t="s">
        <v>650</v>
      </c>
      <c r="Y241" s="167">
        <v>0</v>
      </c>
      <c r="Z241" s="168" t="s">
        <v>22</v>
      </c>
      <c r="AA241" s="166" t="s">
        <v>705</v>
      </c>
      <c r="AB241" s="169" t="s">
        <v>691</v>
      </c>
      <c r="AC241" s="166" t="s">
        <v>861</v>
      </c>
      <c r="AD241" s="166" t="s">
        <v>1633</v>
      </c>
      <c r="AE241" s="166" t="s">
        <v>693</v>
      </c>
      <c r="AF241" s="166" t="s">
        <v>692</v>
      </c>
      <c r="AG241" s="172">
        <v>0</v>
      </c>
      <c r="AH241" s="187" t="s">
        <v>22</v>
      </c>
      <c r="AI241" s="167" t="s">
        <v>595</v>
      </c>
      <c r="AJ241" s="12" t="s">
        <v>1632</v>
      </c>
      <c r="AK241" s="12"/>
      <c r="AL241" s="17" t="s">
        <v>605</v>
      </c>
      <c r="AM241" s="12"/>
    </row>
    <row r="242" spans="2:39" s="2" customFormat="1" ht="261.75" customHeight="1">
      <c r="B242" s="2">
        <v>192</v>
      </c>
      <c r="D242" s="37"/>
      <c r="E242" s="17"/>
      <c r="I242" s="2" t="s">
        <v>376</v>
      </c>
      <c r="K242" s="213" t="s">
        <v>3066</v>
      </c>
      <c r="L242" s="209" t="s">
        <v>2318</v>
      </c>
      <c r="M242" s="217" t="s">
        <v>2324</v>
      </c>
      <c r="N242" s="217" t="s">
        <v>2325</v>
      </c>
      <c r="O242" s="216" t="s">
        <v>22</v>
      </c>
      <c r="P242" s="215" t="s">
        <v>547</v>
      </c>
      <c r="Q242" s="215" t="s">
        <v>2672</v>
      </c>
      <c r="S242" s="17"/>
      <c r="T242" s="166"/>
      <c r="U242" s="166"/>
      <c r="V242" s="166"/>
      <c r="W242" s="167"/>
      <c r="X242" s="167"/>
      <c r="Y242" s="167"/>
      <c r="Z242" s="168"/>
      <c r="AA242" s="166"/>
      <c r="AB242" s="169"/>
      <c r="AC242" s="166"/>
      <c r="AD242" s="166"/>
      <c r="AE242" s="166"/>
      <c r="AF242" s="166"/>
      <c r="AG242" s="172"/>
      <c r="AH242" s="194"/>
      <c r="AI242" s="167"/>
      <c r="AJ242" s="12"/>
      <c r="AK242" s="12"/>
      <c r="AL242" s="17"/>
      <c r="AM242" s="12"/>
    </row>
    <row r="243" spans="2:39" s="2" customFormat="1" ht="189" customHeight="1">
      <c r="B243" s="2">
        <v>193</v>
      </c>
      <c r="D243" s="37"/>
      <c r="E243" s="17" t="s">
        <v>2656</v>
      </c>
      <c r="I243" s="2" t="s">
        <v>376</v>
      </c>
      <c r="K243" s="213" t="s">
        <v>3067</v>
      </c>
      <c r="L243" s="209" t="s">
        <v>2318</v>
      </c>
      <c r="M243" s="217" t="s">
        <v>2324</v>
      </c>
      <c r="N243" s="217" t="s">
        <v>2325</v>
      </c>
      <c r="O243" s="216" t="s">
        <v>22</v>
      </c>
      <c r="P243" s="215" t="s">
        <v>539</v>
      </c>
      <c r="Q243" s="215" t="s">
        <v>2655</v>
      </c>
      <c r="S243" s="17"/>
      <c r="T243" s="166"/>
      <c r="U243" s="166"/>
      <c r="V243" s="166"/>
      <c r="W243" s="167"/>
      <c r="X243" s="167"/>
      <c r="Y243" s="167"/>
      <c r="Z243" s="168"/>
      <c r="AA243" s="166"/>
      <c r="AB243" s="169"/>
      <c r="AC243" s="166"/>
      <c r="AD243" s="166"/>
      <c r="AE243" s="166"/>
      <c r="AF243" s="166"/>
      <c r="AG243" s="172"/>
      <c r="AH243" s="194"/>
      <c r="AI243" s="167"/>
      <c r="AJ243" s="12"/>
      <c r="AK243" s="12"/>
      <c r="AL243" s="17"/>
      <c r="AM243" s="12"/>
    </row>
    <row r="244" spans="2:39" s="2" customFormat="1" ht="205">
      <c r="B244" s="2">
        <v>194</v>
      </c>
      <c r="D244" s="37"/>
      <c r="E244" s="17" t="s">
        <v>857</v>
      </c>
      <c r="L244" s="213"/>
      <c r="M244" s="213"/>
      <c r="T244" s="166" t="s">
        <v>376</v>
      </c>
      <c r="U244" s="166"/>
      <c r="V244" s="166" t="s">
        <v>1601</v>
      </c>
      <c r="W244" s="167" t="s">
        <v>823</v>
      </c>
      <c r="X244" s="167" t="s">
        <v>664</v>
      </c>
      <c r="Y244" s="167">
        <v>0</v>
      </c>
      <c r="Z244" s="168" t="s">
        <v>22</v>
      </c>
      <c r="AA244" s="167" t="s">
        <v>680</v>
      </c>
      <c r="AB244" s="167" t="s">
        <v>862</v>
      </c>
      <c r="AC244" s="166"/>
      <c r="AD244" s="166"/>
      <c r="AE244" s="166"/>
      <c r="AF244" s="166"/>
      <c r="AG244" s="166"/>
      <c r="AH244" s="166"/>
      <c r="AI244" s="166"/>
      <c r="AJ244" s="17"/>
      <c r="AK244" s="17"/>
      <c r="AL244" s="17" t="s">
        <v>605</v>
      </c>
      <c r="AM244" s="17"/>
    </row>
    <row r="245" spans="2:39" s="2" customFormat="1" ht="130.5">
      <c r="B245" s="2">
        <v>195</v>
      </c>
      <c r="D245" s="37"/>
      <c r="E245" s="17" t="s">
        <v>1386</v>
      </c>
      <c r="K245" s="213"/>
      <c r="L245" s="213"/>
      <c r="M245" s="213"/>
      <c r="T245" s="166" t="s">
        <v>376</v>
      </c>
      <c r="U245" s="166"/>
      <c r="V245" s="166" t="s">
        <v>1385</v>
      </c>
      <c r="W245" s="172" t="s">
        <v>1110</v>
      </c>
      <c r="X245" s="172" t="s">
        <v>1111</v>
      </c>
      <c r="Y245" s="172">
        <v>0</v>
      </c>
      <c r="Z245" s="168" t="s">
        <v>22</v>
      </c>
      <c r="AA245" s="166" t="s">
        <v>1387</v>
      </c>
      <c r="AB245" s="169" t="s">
        <v>1388</v>
      </c>
      <c r="AC245" s="166"/>
      <c r="AD245" s="166"/>
      <c r="AE245" s="166"/>
      <c r="AF245" s="166"/>
      <c r="AG245" s="166"/>
      <c r="AH245" s="166"/>
      <c r="AI245" s="166"/>
      <c r="AJ245" s="17"/>
      <c r="AK245" s="17"/>
      <c r="AL245" s="17"/>
      <c r="AM245" s="17"/>
    </row>
    <row r="246" spans="2:39" s="2" customFormat="1" ht="58">
      <c r="B246" s="2">
        <v>196</v>
      </c>
      <c r="D246" s="37"/>
      <c r="E246" s="17" t="s">
        <v>2664</v>
      </c>
      <c r="I246" s="2" t="s">
        <v>376</v>
      </c>
      <c r="K246" s="213" t="s">
        <v>2671</v>
      </c>
      <c r="L246" s="209" t="s">
        <v>2318</v>
      </c>
      <c r="M246" s="217" t="s">
        <v>2324</v>
      </c>
      <c r="N246" s="217" t="s">
        <v>2325</v>
      </c>
      <c r="O246" s="216" t="s">
        <v>22</v>
      </c>
      <c r="P246" s="215" t="s">
        <v>539</v>
      </c>
      <c r="Q246" s="215" t="s">
        <v>2665</v>
      </c>
      <c r="T246" s="166"/>
      <c r="U246" s="166"/>
      <c r="V246" s="166"/>
      <c r="W246" s="172"/>
      <c r="X246" s="172"/>
      <c r="Y246" s="172"/>
      <c r="Z246" s="168"/>
      <c r="AA246" s="166"/>
      <c r="AB246" s="169"/>
      <c r="AC246" s="166"/>
      <c r="AD246" s="166"/>
      <c r="AE246" s="166"/>
      <c r="AF246" s="166"/>
      <c r="AG246" s="166"/>
      <c r="AH246" s="166"/>
      <c r="AI246" s="166"/>
      <c r="AJ246" s="17"/>
      <c r="AK246" s="17"/>
      <c r="AL246" s="17"/>
      <c r="AM246" s="17"/>
    </row>
    <row r="247" spans="2:39" s="2" customFormat="1" ht="43.5">
      <c r="B247" s="2">
        <v>197</v>
      </c>
      <c r="D247" s="37"/>
      <c r="E247" s="2" t="s">
        <v>2661</v>
      </c>
      <c r="K247" s="213"/>
      <c r="L247" s="213"/>
      <c r="M247" s="213"/>
      <c r="T247" s="166" t="s">
        <v>376</v>
      </c>
      <c r="U247" s="166"/>
      <c r="V247" s="166" t="s">
        <v>1626</v>
      </c>
      <c r="W247" s="172" t="s">
        <v>1614</v>
      </c>
      <c r="X247" s="172" t="s">
        <v>692</v>
      </c>
      <c r="Y247" s="172">
        <v>0</v>
      </c>
      <c r="Z247" s="168" t="s">
        <v>22</v>
      </c>
      <c r="AA247" s="167" t="s">
        <v>1102</v>
      </c>
      <c r="AB247" s="167" t="s">
        <v>1624</v>
      </c>
      <c r="AC247" s="166"/>
      <c r="AD247" s="166"/>
      <c r="AE247" s="166"/>
      <c r="AF247" s="166"/>
      <c r="AG247" s="166"/>
      <c r="AH247" s="166"/>
      <c r="AI247" s="166"/>
      <c r="AJ247" s="17"/>
      <c r="AK247" s="17"/>
      <c r="AL247" s="17" t="s">
        <v>1965</v>
      </c>
      <c r="AM247" s="17"/>
    </row>
    <row r="248" spans="2:39" s="2" customFormat="1" ht="192.5">
      <c r="B248" s="2">
        <v>198</v>
      </c>
      <c r="D248" s="37"/>
      <c r="E248" s="2" t="s">
        <v>2702</v>
      </c>
      <c r="I248" s="2" t="s">
        <v>376</v>
      </c>
      <c r="K248" s="215" t="s">
        <v>3068</v>
      </c>
      <c r="L248" s="209" t="s">
        <v>2318</v>
      </c>
      <c r="M248" s="217" t="s">
        <v>2324</v>
      </c>
      <c r="N248" s="217" t="s">
        <v>2325</v>
      </c>
      <c r="O248" s="216" t="s">
        <v>22</v>
      </c>
      <c r="P248" s="215" t="s">
        <v>2700</v>
      </c>
      <c r="Q248" s="215" t="s">
        <v>2701</v>
      </c>
      <c r="S248" s="17"/>
      <c r="T248" s="166"/>
      <c r="U248" s="166"/>
      <c r="V248" s="166"/>
      <c r="W248" s="166"/>
      <c r="X248" s="171"/>
      <c r="Y248" s="166"/>
      <c r="Z248" s="170"/>
      <c r="AA248" s="166"/>
      <c r="AB248" s="166"/>
      <c r="AC248" s="166"/>
      <c r="AD248" s="166"/>
      <c r="AE248" s="166"/>
      <c r="AF248" s="166"/>
      <c r="AG248" s="166"/>
      <c r="AH248" s="166"/>
      <c r="AI248" s="166"/>
      <c r="AJ248" s="17"/>
      <c r="AK248" s="17"/>
      <c r="AL248" s="17"/>
      <c r="AM248" s="17"/>
    </row>
    <row r="249" spans="2:39" s="2" customFormat="1" ht="304.5">
      <c r="B249" s="2">
        <v>199</v>
      </c>
      <c r="D249" s="37"/>
      <c r="E249" s="2" t="s">
        <v>387</v>
      </c>
      <c r="I249" s="2" t="s">
        <v>376</v>
      </c>
      <c r="K249" s="215" t="s">
        <v>3069</v>
      </c>
      <c r="L249" s="209" t="s">
        <v>2318</v>
      </c>
      <c r="M249" s="217" t="s">
        <v>2324</v>
      </c>
      <c r="N249" s="217" t="s">
        <v>2325</v>
      </c>
      <c r="O249" s="216" t="s">
        <v>22</v>
      </c>
      <c r="P249" s="215" t="s">
        <v>2700</v>
      </c>
      <c r="Q249" s="215" t="s">
        <v>2705</v>
      </c>
      <c r="S249" s="17"/>
      <c r="T249" s="166" t="s">
        <v>376</v>
      </c>
      <c r="U249" s="166"/>
      <c r="V249" s="166" t="s">
        <v>1627</v>
      </c>
      <c r="W249" s="172" t="s">
        <v>1614</v>
      </c>
      <c r="X249" s="172" t="s">
        <v>692</v>
      </c>
      <c r="Y249" s="172">
        <v>0</v>
      </c>
      <c r="Z249" s="168" t="s">
        <v>22</v>
      </c>
      <c r="AA249" s="167" t="s">
        <v>1625</v>
      </c>
      <c r="AB249" s="167" t="s">
        <v>1624</v>
      </c>
      <c r="AC249" s="166"/>
      <c r="AD249" s="166"/>
      <c r="AE249" s="166"/>
      <c r="AF249" s="166"/>
      <c r="AG249" s="166"/>
      <c r="AH249" s="166"/>
      <c r="AI249" s="166"/>
      <c r="AJ249" s="17"/>
      <c r="AK249" s="17" t="s">
        <v>605</v>
      </c>
      <c r="AL249" s="17" t="s">
        <v>605</v>
      </c>
      <c r="AM249" s="17"/>
    </row>
    <row r="250" spans="2:39" s="2" customFormat="1" ht="76" customHeight="1">
      <c r="B250" s="2">
        <v>200</v>
      </c>
      <c r="D250" s="37"/>
      <c r="E250" s="2" t="s">
        <v>388</v>
      </c>
      <c r="F250" s="2" t="s">
        <v>881</v>
      </c>
      <c r="I250" s="2" t="s">
        <v>376</v>
      </c>
      <c r="K250" s="213" t="s">
        <v>2707</v>
      </c>
      <c r="L250" s="209" t="s">
        <v>2318</v>
      </c>
      <c r="M250" s="217" t="s">
        <v>2324</v>
      </c>
      <c r="N250" s="217" t="s">
        <v>2325</v>
      </c>
      <c r="O250" s="216" t="s">
        <v>22</v>
      </c>
      <c r="P250" s="215" t="s">
        <v>2700</v>
      </c>
      <c r="Q250" s="215" t="s">
        <v>2706</v>
      </c>
      <c r="S250" s="17"/>
      <c r="T250" s="166" t="s">
        <v>376</v>
      </c>
      <c r="U250" s="166"/>
      <c r="V250" s="166" t="s">
        <v>1647</v>
      </c>
      <c r="W250" s="172" t="s">
        <v>1614</v>
      </c>
      <c r="X250" s="172" t="s">
        <v>692</v>
      </c>
      <c r="Y250" s="172">
        <v>0</v>
      </c>
      <c r="Z250" s="168" t="s">
        <v>22</v>
      </c>
      <c r="AA250" s="167" t="s">
        <v>759</v>
      </c>
      <c r="AB250" s="167" t="s">
        <v>1646</v>
      </c>
      <c r="AC250" s="166"/>
      <c r="AD250" s="166"/>
      <c r="AE250" s="166"/>
      <c r="AF250" s="166"/>
      <c r="AG250" s="166"/>
      <c r="AH250" s="166"/>
      <c r="AI250" s="166"/>
      <c r="AJ250" s="17"/>
      <c r="AK250" s="17"/>
      <c r="AL250" s="17" t="s">
        <v>605</v>
      </c>
      <c r="AM250" s="17"/>
    </row>
    <row r="251" spans="2:39" s="2" customFormat="1" ht="333.5">
      <c r="B251" s="2">
        <v>201</v>
      </c>
      <c r="D251" s="37"/>
      <c r="E251" s="2" t="s">
        <v>2691</v>
      </c>
      <c r="I251" s="2" t="s">
        <v>376</v>
      </c>
      <c r="K251" s="213" t="s">
        <v>3070</v>
      </c>
      <c r="L251" s="209" t="s">
        <v>2318</v>
      </c>
      <c r="M251" s="217" t="s">
        <v>2324</v>
      </c>
      <c r="N251" s="217" t="s">
        <v>2325</v>
      </c>
      <c r="O251" s="216" t="s">
        <v>22</v>
      </c>
      <c r="P251" s="215" t="s">
        <v>2692</v>
      </c>
      <c r="Q251" s="215" t="s">
        <v>2693</v>
      </c>
      <c r="S251" s="17"/>
      <c r="T251" s="166"/>
      <c r="U251" s="166"/>
      <c r="V251" s="166"/>
      <c r="W251" s="172"/>
      <c r="X251" s="172"/>
      <c r="Y251" s="172"/>
      <c r="Z251" s="168"/>
      <c r="AA251" s="167"/>
      <c r="AB251" s="167"/>
      <c r="AC251" s="166"/>
      <c r="AD251" s="166"/>
      <c r="AE251" s="166"/>
      <c r="AF251" s="166"/>
      <c r="AG251" s="166"/>
      <c r="AH251" s="166"/>
      <c r="AI251" s="166"/>
      <c r="AJ251" s="17"/>
      <c r="AK251" s="17"/>
      <c r="AL251" s="17"/>
      <c r="AM251" s="17"/>
    </row>
    <row r="252" spans="2:39" s="2" customFormat="1" ht="58">
      <c r="B252" s="2">
        <v>202</v>
      </c>
      <c r="D252" s="37"/>
      <c r="E252" s="2" t="s">
        <v>2703</v>
      </c>
      <c r="I252" s="2" t="s">
        <v>376</v>
      </c>
      <c r="K252" s="213" t="s">
        <v>3071</v>
      </c>
      <c r="L252" s="209" t="s">
        <v>2318</v>
      </c>
      <c r="M252" s="217" t="s">
        <v>2324</v>
      </c>
      <c r="N252" s="217" t="s">
        <v>2325</v>
      </c>
      <c r="O252" s="216" t="s">
        <v>22</v>
      </c>
      <c r="P252" s="215" t="s">
        <v>2700</v>
      </c>
      <c r="Q252" s="215" t="s">
        <v>2704</v>
      </c>
      <c r="S252" s="17"/>
      <c r="T252" s="166"/>
      <c r="U252" s="166"/>
      <c r="V252" s="166"/>
      <c r="W252" s="172"/>
      <c r="X252" s="172"/>
      <c r="Y252" s="172"/>
      <c r="Z252" s="168"/>
      <c r="AA252" s="167"/>
      <c r="AB252" s="167"/>
      <c r="AC252" s="166"/>
      <c r="AD252" s="166"/>
      <c r="AE252" s="166"/>
      <c r="AF252" s="166"/>
      <c r="AG252" s="166"/>
      <c r="AH252" s="166"/>
      <c r="AI252" s="166"/>
      <c r="AJ252" s="17"/>
      <c r="AK252" s="17"/>
      <c r="AL252" s="17"/>
      <c r="AM252" s="17"/>
    </row>
    <row r="253" spans="2:39" s="2" customFormat="1" ht="58">
      <c r="B253" s="2">
        <v>203</v>
      </c>
      <c r="D253" s="37"/>
      <c r="E253" s="2" t="s">
        <v>389</v>
      </c>
      <c r="F253" s="2" t="s">
        <v>2676</v>
      </c>
      <c r="K253" s="213"/>
      <c r="L253" s="213"/>
      <c r="M253" s="213"/>
      <c r="T253" s="166" t="s">
        <v>376</v>
      </c>
      <c r="U253" s="166"/>
      <c r="V253" s="166" t="s">
        <v>706</v>
      </c>
      <c r="W253" s="167" t="s">
        <v>649</v>
      </c>
      <c r="X253" s="167" t="s">
        <v>650</v>
      </c>
      <c r="Y253" s="167">
        <v>0</v>
      </c>
      <c r="Z253" s="168" t="s">
        <v>22</v>
      </c>
      <c r="AA253" s="166" t="s">
        <v>708</v>
      </c>
      <c r="AB253" s="169" t="s">
        <v>709</v>
      </c>
      <c r="AC253" s="166"/>
      <c r="AD253" s="166"/>
      <c r="AE253" s="167" t="s">
        <v>823</v>
      </c>
      <c r="AF253" s="166" t="s">
        <v>664</v>
      </c>
      <c r="AG253" s="166"/>
      <c r="AH253" s="166"/>
      <c r="AI253" s="166"/>
      <c r="AJ253" s="17"/>
      <c r="AK253" s="17"/>
      <c r="AL253" s="17" t="s">
        <v>1966</v>
      </c>
      <c r="AM253" s="17"/>
    </row>
    <row r="254" spans="2:39" s="2" customFormat="1" ht="43.5">
      <c r="B254" s="2">
        <v>204</v>
      </c>
      <c r="D254" s="37"/>
      <c r="E254" s="2" t="s">
        <v>2658</v>
      </c>
      <c r="F254" s="2" t="s">
        <v>18</v>
      </c>
      <c r="I254" s="2" t="s">
        <v>376</v>
      </c>
      <c r="K254" s="213" t="s">
        <v>2659</v>
      </c>
      <c r="L254" s="209" t="s">
        <v>2318</v>
      </c>
      <c r="M254" s="217" t="s">
        <v>2324</v>
      </c>
      <c r="N254" s="217" t="s">
        <v>2325</v>
      </c>
      <c r="O254" s="216" t="s">
        <v>22</v>
      </c>
      <c r="P254" s="215" t="s">
        <v>539</v>
      </c>
      <c r="Q254" s="215" t="s">
        <v>2660</v>
      </c>
      <c r="S254" s="17"/>
      <c r="T254" s="166"/>
      <c r="U254" s="166"/>
      <c r="V254" s="166"/>
      <c r="W254" s="166"/>
      <c r="X254" s="171"/>
      <c r="Y254" s="166"/>
      <c r="Z254" s="170"/>
      <c r="AA254" s="166"/>
      <c r="AB254" s="166"/>
      <c r="AC254" s="166"/>
      <c r="AD254" s="166"/>
      <c r="AE254" s="171"/>
      <c r="AF254" s="166"/>
      <c r="AG254" s="166"/>
      <c r="AH254" s="166"/>
      <c r="AI254" s="166"/>
      <c r="AJ254" s="17"/>
      <c r="AK254" s="17"/>
      <c r="AL254" s="17"/>
      <c r="AM254" s="17"/>
    </row>
    <row r="255" spans="2:39" s="2" customFormat="1" ht="87">
      <c r="B255" s="2">
        <v>205</v>
      </c>
      <c r="D255" s="37"/>
      <c r="E255" s="2" t="s">
        <v>390</v>
      </c>
      <c r="F255" s="2" t="s">
        <v>391</v>
      </c>
      <c r="I255" s="2" t="s">
        <v>376</v>
      </c>
      <c r="K255" s="213" t="s">
        <v>2730</v>
      </c>
      <c r="L255" s="213"/>
      <c r="M255" s="213"/>
      <c r="S255" s="17"/>
      <c r="T255" s="166"/>
      <c r="U255" s="166"/>
      <c r="V255" s="166"/>
      <c r="W255" s="166"/>
      <c r="X255" s="171"/>
      <c r="Y255" s="166"/>
      <c r="Z255" s="170"/>
      <c r="AA255" s="166"/>
      <c r="AB255" s="166"/>
      <c r="AC255" s="166"/>
      <c r="AD255" s="166"/>
      <c r="AE255" s="171"/>
      <c r="AF255" s="166"/>
      <c r="AG255" s="166"/>
      <c r="AH255" s="166"/>
      <c r="AI255" s="166"/>
      <c r="AJ255" s="17"/>
      <c r="AK255" s="17"/>
      <c r="AL255" s="17"/>
      <c r="AM255" s="17"/>
    </row>
    <row r="256" spans="2:39" s="2" customFormat="1" ht="101.5">
      <c r="B256" s="2">
        <v>206</v>
      </c>
      <c r="D256" s="37"/>
      <c r="E256" s="17" t="s">
        <v>392</v>
      </c>
      <c r="F256" s="2" t="s">
        <v>393</v>
      </c>
      <c r="I256" s="2" t="s">
        <v>376</v>
      </c>
      <c r="K256" s="213" t="s">
        <v>2725</v>
      </c>
      <c r="L256" s="209" t="s">
        <v>2318</v>
      </c>
      <c r="M256" s="217" t="s">
        <v>2324</v>
      </c>
      <c r="N256" s="217" t="s">
        <v>2325</v>
      </c>
      <c r="O256" s="216" t="s">
        <v>22</v>
      </c>
      <c r="P256" s="215" t="s">
        <v>554</v>
      </c>
      <c r="Q256" s="215" t="s">
        <v>2723</v>
      </c>
      <c r="R256" s="2" t="s">
        <v>2724</v>
      </c>
      <c r="S256" s="17"/>
      <c r="T256" s="166" t="s">
        <v>376</v>
      </c>
      <c r="U256" s="166"/>
      <c r="V256" s="166" t="s">
        <v>1645</v>
      </c>
      <c r="W256" s="172" t="s">
        <v>1614</v>
      </c>
      <c r="X256" s="172" t="s">
        <v>692</v>
      </c>
      <c r="Y256" s="172">
        <v>0</v>
      </c>
      <c r="Z256" s="168" t="s">
        <v>22</v>
      </c>
      <c r="AA256" s="167" t="s">
        <v>559</v>
      </c>
      <c r="AB256" s="167" t="s">
        <v>1640</v>
      </c>
      <c r="AC256" s="166"/>
      <c r="AD256" s="166"/>
      <c r="AE256" s="171"/>
      <c r="AF256" s="166"/>
      <c r="AG256" s="166"/>
      <c r="AH256" s="166"/>
      <c r="AI256" s="166"/>
      <c r="AJ256" s="17"/>
      <c r="AK256" s="17" t="s">
        <v>1832</v>
      </c>
      <c r="AL256" s="17" t="s">
        <v>1967</v>
      </c>
      <c r="AM256" s="17"/>
    </row>
    <row r="257" spans="2:39" s="2" customFormat="1">
      <c r="B257" s="2">
        <v>207</v>
      </c>
      <c r="D257" s="37"/>
      <c r="E257" s="18" t="s">
        <v>345</v>
      </c>
      <c r="K257" s="213"/>
      <c r="L257" s="213"/>
      <c r="M257" s="213"/>
      <c r="T257" s="166"/>
      <c r="U257" s="166"/>
      <c r="V257" s="166"/>
      <c r="W257" s="166"/>
      <c r="X257" s="166"/>
      <c r="Y257" s="166"/>
      <c r="Z257" s="170"/>
      <c r="AA257" s="166"/>
      <c r="AB257" s="171"/>
      <c r="AC257" s="166"/>
      <c r="AD257" s="166"/>
      <c r="AE257" s="166"/>
      <c r="AF257" s="166"/>
      <c r="AG257" s="166"/>
      <c r="AH257" s="166"/>
      <c r="AI257" s="166"/>
      <c r="AJ257" s="17"/>
      <c r="AK257" s="17"/>
      <c r="AL257" s="17"/>
      <c r="AM257" s="17"/>
    </row>
    <row r="258" spans="2:39" s="2" customFormat="1" ht="154" customHeight="1">
      <c r="B258" s="2">
        <v>208</v>
      </c>
      <c r="D258" s="37"/>
      <c r="E258" s="2" t="s">
        <v>363</v>
      </c>
      <c r="F258" s="17" t="s">
        <v>158</v>
      </c>
      <c r="I258" s="2" t="s">
        <v>376</v>
      </c>
      <c r="K258" s="213" t="s">
        <v>3072</v>
      </c>
      <c r="L258" s="209" t="s">
        <v>2318</v>
      </c>
      <c r="M258" s="217" t="s">
        <v>2324</v>
      </c>
      <c r="N258" s="217" t="s">
        <v>2325</v>
      </c>
      <c r="O258" s="216" t="s">
        <v>22</v>
      </c>
      <c r="P258" s="215" t="s">
        <v>2700</v>
      </c>
      <c r="Q258" s="215" t="s">
        <v>2708</v>
      </c>
      <c r="S258" s="17"/>
      <c r="T258" s="166" t="s">
        <v>376</v>
      </c>
      <c r="U258" s="166"/>
      <c r="V258" s="166" t="s">
        <v>1358</v>
      </c>
      <c r="W258" s="172" t="s">
        <v>1110</v>
      </c>
      <c r="X258" s="172" t="s">
        <v>1111</v>
      </c>
      <c r="Y258" s="172">
        <v>0</v>
      </c>
      <c r="Z258" s="168" t="s">
        <v>22</v>
      </c>
      <c r="AA258" s="166" t="s">
        <v>1356</v>
      </c>
      <c r="AB258" s="169" t="s">
        <v>1357</v>
      </c>
      <c r="AC258" s="166"/>
      <c r="AD258" s="166"/>
      <c r="AE258" s="166"/>
      <c r="AF258" s="166"/>
      <c r="AG258" s="166"/>
      <c r="AH258" s="166"/>
      <c r="AI258" s="166"/>
      <c r="AJ258" s="17"/>
      <c r="AK258" s="17"/>
      <c r="AL258" s="17"/>
      <c r="AM258" s="17"/>
    </row>
    <row r="259" spans="2:39" s="2" customFormat="1" ht="172.5" customHeight="1">
      <c r="B259" s="2">
        <v>209</v>
      </c>
      <c r="D259" s="37"/>
      <c r="F259" s="17" t="s">
        <v>1394</v>
      </c>
      <c r="I259" s="2" t="s">
        <v>376</v>
      </c>
      <c r="K259" s="213" t="s">
        <v>2713</v>
      </c>
      <c r="L259" s="209" t="s">
        <v>2318</v>
      </c>
      <c r="M259" s="217" t="s">
        <v>2324</v>
      </c>
      <c r="N259" s="217" t="s">
        <v>2325</v>
      </c>
      <c r="O259" s="216" t="s">
        <v>22</v>
      </c>
      <c r="P259" s="215" t="s">
        <v>2700</v>
      </c>
      <c r="Q259" s="215" t="s">
        <v>2708</v>
      </c>
      <c r="S259" s="17"/>
      <c r="T259" s="166" t="s">
        <v>376</v>
      </c>
      <c r="U259" s="166"/>
      <c r="V259" s="166" t="s">
        <v>1400</v>
      </c>
      <c r="W259" s="172" t="s">
        <v>1110</v>
      </c>
      <c r="X259" s="172" t="s">
        <v>1111</v>
      </c>
      <c r="Y259" s="172">
        <v>0</v>
      </c>
      <c r="Z259" s="168" t="s">
        <v>22</v>
      </c>
      <c r="AA259" s="166" t="s">
        <v>1395</v>
      </c>
      <c r="AB259" s="169" t="s">
        <v>1396</v>
      </c>
      <c r="AC259" s="166"/>
      <c r="AD259" s="166"/>
      <c r="AE259" s="166" t="s">
        <v>1399</v>
      </c>
      <c r="AF259" s="166" t="s">
        <v>1398</v>
      </c>
      <c r="AG259" s="166"/>
      <c r="AH259" s="166"/>
      <c r="AI259" s="166"/>
      <c r="AJ259" s="17"/>
      <c r="AK259" s="17"/>
      <c r="AL259" s="17"/>
      <c r="AM259" s="17"/>
    </row>
    <row r="260" spans="2:39" s="2" customFormat="1" ht="234.75" customHeight="1">
      <c r="B260" s="2">
        <v>210</v>
      </c>
      <c r="D260" s="37"/>
      <c r="F260" s="17"/>
      <c r="I260" s="2" t="s">
        <v>376</v>
      </c>
      <c r="K260" s="213" t="s">
        <v>2714</v>
      </c>
      <c r="L260" s="209" t="s">
        <v>2318</v>
      </c>
      <c r="M260" s="217" t="s">
        <v>2324</v>
      </c>
      <c r="N260" s="217" t="s">
        <v>2325</v>
      </c>
      <c r="O260" s="216" t="s">
        <v>22</v>
      </c>
      <c r="P260" s="215" t="s">
        <v>2700</v>
      </c>
      <c r="Q260" s="215" t="s">
        <v>2712</v>
      </c>
      <c r="S260" s="17"/>
      <c r="T260" s="166"/>
      <c r="U260" s="166"/>
      <c r="V260" s="166"/>
      <c r="W260" s="172"/>
      <c r="X260" s="172"/>
      <c r="Y260" s="172"/>
      <c r="Z260" s="168"/>
      <c r="AA260" s="166"/>
      <c r="AB260" s="169"/>
      <c r="AC260" s="166"/>
      <c r="AD260" s="166"/>
      <c r="AE260" s="166"/>
      <c r="AF260" s="166"/>
      <c r="AG260" s="166"/>
      <c r="AH260" s="166"/>
      <c r="AI260" s="166"/>
      <c r="AJ260" s="17"/>
      <c r="AK260" s="17"/>
      <c r="AL260" s="17"/>
      <c r="AM260" s="17"/>
    </row>
    <row r="261" spans="2:39" s="2" customFormat="1" ht="151.5" customHeight="1">
      <c r="B261" s="2">
        <v>211</v>
      </c>
      <c r="D261" s="37"/>
      <c r="E261" s="2" t="s">
        <v>159</v>
      </c>
      <c r="F261" s="17" t="s">
        <v>1393</v>
      </c>
      <c r="K261" s="213"/>
      <c r="L261" s="213"/>
      <c r="M261" s="213"/>
      <c r="T261" s="166" t="s">
        <v>376</v>
      </c>
      <c r="U261" s="166"/>
      <c r="V261" s="166" t="s">
        <v>702</v>
      </c>
      <c r="W261" s="167" t="s">
        <v>649</v>
      </c>
      <c r="X261" s="167" t="s">
        <v>650</v>
      </c>
      <c r="Y261" s="167">
        <v>0</v>
      </c>
      <c r="Z261" s="168" t="s">
        <v>22</v>
      </c>
      <c r="AA261" s="166" t="s">
        <v>698</v>
      </c>
      <c r="AB261" s="169" t="s">
        <v>703</v>
      </c>
      <c r="AC261" s="166"/>
      <c r="AD261" s="166"/>
      <c r="AE261" s="166" t="s">
        <v>704</v>
      </c>
      <c r="AF261" s="166" t="s">
        <v>701</v>
      </c>
      <c r="AG261" s="166"/>
      <c r="AH261" s="166"/>
      <c r="AI261" s="166"/>
      <c r="AJ261" s="17"/>
      <c r="AK261" s="17"/>
      <c r="AL261" s="17"/>
      <c r="AM261" s="17"/>
    </row>
    <row r="262" spans="2:39" s="2" customFormat="1" ht="215.15" customHeight="1">
      <c r="B262" s="2">
        <v>212</v>
      </c>
      <c r="D262" s="37"/>
      <c r="E262" s="2" t="s">
        <v>940</v>
      </c>
      <c r="F262" s="17" t="s">
        <v>1392</v>
      </c>
      <c r="K262" s="213"/>
      <c r="L262" s="213"/>
      <c r="M262" s="213"/>
      <c r="T262" s="166" t="s">
        <v>376</v>
      </c>
      <c r="U262" s="166"/>
      <c r="V262" s="166" t="s">
        <v>1629</v>
      </c>
      <c r="W262" s="167" t="s">
        <v>823</v>
      </c>
      <c r="X262" s="167" t="s">
        <v>664</v>
      </c>
      <c r="Y262" s="167">
        <v>0</v>
      </c>
      <c r="Z262" s="168" t="s">
        <v>22</v>
      </c>
      <c r="AA262" s="167" t="s">
        <v>942</v>
      </c>
      <c r="AB262" s="167" t="s">
        <v>941</v>
      </c>
      <c r="AC262" s="166" t="s">
        <v>943</v>
      </c>
      <c r="AD262" s="166" t="s">
        <v>1631</v>
      </c>
      <c r="AE262" s="172" t="s">
        <v>1614</v>
      </c>
      <c r="AF262" s="172" t="s">
        <v>692</v>
      </c>
      <c r="AG262" s="172">
        <v>0</v>
      </c>
      <c r="AH262" s="187" t="s">
        <v>22</v>
      </c>
      <c r="AI262" s="167" t="s">
        <v>1630</v>
      </c>
      <c r="AJ262" s="12" t="s">
        <v>1623</v>
      </c>
      <c r="AK262" s="12"/>
      <c r="AL262" s="12"/>
      <c r="AM262" s="12"/>
    </row>
    <row r="263" spans="2:39" s="2" customFormat="1" ht="58">
      <c r="B263" s="2">
        <v>213</v>
      </c>
      <c r="D263" s="37"/>
      <c r="E263" s="2" t="s">
        <v>2657</v>
      </c>
      <c r="F263" s="17"/>
      <c r="K263" s="213"/>
      <c r="L263" s="213"/>
      <c r="M263" s="213"/>
      <c r="T263" s="166" t="s">
        <v>376</v>
      </c>
      <c r="U263" s="166"/>
      <c r="V263" s="166" t="s">
        <v>1397</v>
      </c>
      <c r="W263" s="172" t="s">
        <v>1110</v>
      </c>
      <c r="X263" s="172" t="s">
        <v>1111</v>
      </c>
      <c r="Y263" s="172">
        <v>0</v>
      </c>
      <c r="Z263" s="168" t="s">
        <v>22</v>
      </c>
      <c r="AA263" s="166" t="s">
        <v>1395</v>
      </c>
      <c r="AB263" s="169" t="s">
        <v>1396</v>
      </c>
      <c r="AC263" s="166"/>
      <c r="AD263" s="166"/>
      <c r="AE263" s="166"/>
      <c r="AF263" s="166"/>
      <c r="AG263" s="166"/>
      <c r="AH263" s="166"/>
      <c r="AI263" s="166"/>
      <c r="AJ263" s="17"/>
      <c r="AK263" s="17"/>
      <c r="AL263" s="17"/>
      <c r="AM263" s="17"/>
    </row>
    <row r="264" spans="2:39" s="2" customFormat="1" ht="406">
      <c r="B264" s="2">
        <v>214</v>
      </c>
      <c r="D264" s="37"/>
      <c r="E264" s="2" t="s">
        <v>383</v>
      </c>
      <c r="F264" s="2" t="s">
        <v>384</v>
      </c>
      <c r="K264" s="213"/>
      <c r="L264" s="213"/>
      <c r="M264" s="213"/>
      <c r="T264" s="166" t="s">
        <v>376</v>
      </c>
      <c r="U264" s="166"/>
      <c r="V264" s="166" t="s">
        <v>1638</v>
      </c>
      <c r="W264" s="172" t="s">
        <v>1614</v>
      </c>
      <c r="X264" s="172" t="s">
        <v>692</v>
      </c>
      <c r="Y264" s="172">
        <v>0</v>
      </c>
      <c r="Z264" s="168" t="s">
        <v>22</v>
      </c>
      <c r="AA264" s="167" t="s">
        <v>554</v>
      </c>
      <c r="AB264" s="167" t="s">
        <v>1636</v>
      </c>
      <c r="AC264" s="166"/>
      <c r="AD264" s="166"/>
      <c r="AE264" s="166"/>
      <c r="AF264" s="166"/>
      <c r="AG264" s="166"/>
      <c r="AH264" s="166"/>
      <c r="AI264" s="166"/>
      <c r="AJ264" s="17"/>
      <c r="AK264" s="17" t="s">
        <v>605</v>
      </c>
      <c r="AL264" s="17" t="s">
        <v>1968</v>
      </c>
      <c r="AM264" s="17" t="s">
        <v>18</v>
      </c>
    </row>
    <row r="265" spans="2:39" s="2" customFormat="1" ht="203">
      <c r="B265" s="2">
        <v>215</v>
      </c>
      <c r="D265" s="37"/>
      <c r="E265" s="2" t="s">
        <v>385</v>
      </c>
      <c r="F265" s="2" t="s">
        <v>386</v>
      </c>
      <c r="K265" s="221"/>
      <c r="L265" s="213"/>
      <c r="M265" s="213"/>
      <c r="T265" s="166" t="s">
        <v>376</v>
      </c>
      <c r="U265" s="166"/>
      <c r="V265" s="166" t="s">
        <v>1637</v>
      </c>
      <c r="W265" s="172" t="s">
        <v>1614</v>
      </c>
      <c r="X265" s="172" t="s">
        <v>692</v>
      </c>
      <c r="Y265" s="172">
        <v>0</v>
      </c>
      <c r="Z265" s="168" t="s">
        <v>22</v>
      </c>
      <c r="AA265" s="167" t="s">
        <v>554</v>
      </c>
      <c r="AB265" s="167" t="s">
        <v>1635</v>
      </c>
      <c r="AC265" s="166"/>
      <c r="AD265" s="166"/>
      <c r="AE265" s="166"/>
      <c r="AF265" s="166"/>
      <c r="AG265" s="166"/>
      <c r="AH265" s="166"/>
      <c r="AI265" s="166"/>
      <c r="AJ265" s="17"/>
      <c r="AK265" s="17" t="s">
        <v>605</v>
      </c>
      <c r="AL265" s="17" t="s">
        <v>1968</v>
      </c>
      <c r="AM265" s="17"/>
    </row>
    <row r="266" spans="2:39" s="2" customFormat="1" ht="58">
      <c r="B266" s="2">
        <v>216</v>
      </c>
      <c r="D266" s="37"/>
      <c r="E266" s="2" t="s">
        <v>2677</v>
      </c>
      <c r="F266" s="17"/>
      <c r="K266" s="213"/>
      <c r="L266" s="213"/>
      <c r="M266" s="213"/>
      <c r="T266" s="166" t="s">
        <v>376</v>
      </c>
      <c r="U266" s="166"/>
      <c r="V266" s="166" t="s">
        <v>854</v>
      </c>
      <c r="W266" s="167" t="s">
        <v>823</v>
      </c>
      <c r="X266" s="167" t="s">
        <v>664</v>
      </c>
      <c r="Y266" s="167">
        <v>0</v>
      </c>
      <c r="Z266" s="168" t="s">
        <v>22</v>
      </c>
      <c r="AA266" s="167" t="s">
        <v>430</v>
      </c>
      <c r="AB266" s="167" t="s">
        <v>849</v>
      </c>
      <c r="AC266" s="166"/>
      <c r="AD266" s="166"/>
      <c r="AE266" s="166"/>
      <c r="AF266" s="166"/>
      <c r="AG266" s="166"/>
      <c r="AH266" s="166"/>
      <c r="AI266" s="166"/>
      <c r="AJ266" s="17"/>
      <c r="AK266" s="17"/>
      <c r="AL266" s="17"/>
      <c r="AM266" s="17"/>
    </row>
    <row r="267" spans="2:39" s="2" customFormat="1" ht="174">
      <c r="B267" s="2">
        <v>217</v>
      </c>
      <c r="C267" s="2">
        <v>2</v>
      </c>
      <c r="D267" s="37"/>
      <c r="E267" s="2" t="s">
        <v>955</v>
      </c>
      <c r="F267" s="2" t="s">
        <v>135</v>
      </c>
      <c r="I267" s="2" t="s">
        <v>376</v>
      </c>
      <c r="K267" s="2" t="s">
        <v>2728</v>
      </c>
      <c r="L267" s="209" t="s">
        <v>2318</v>
      </c>
      <c r="M267" s="217" t="s">
        <v>2324</v>
      </c>
      <c r="N267" s="217" t="s">
        <v>2325</v>
      </c>
      <c r="O267" s="216" t="s">
        <v>22</v>
      </c>
      <c r="P267" s="215" t="s">
        <v>559</v>
      </c>
      <c r="Q267" s="215" t="s">
        <v>2729</v>
      </c>
      <c r="S267" s="17"/>
      <c r="T267" s="166" t="s">
        <v>376</v>
      </c>
      <c r="U267" s="166"/>
      <c r="V267" s="166" t="s">
        <v>858</v>
      </c>
      <c r="W267" s="167" t="s">
        <v>823</v>
      </c>
      <c r="X267" s="167" t="s">
        <v>664</v>
      </c>
      <c r="Y267" s="167">
        <v>0</v>
      </c>
      <c r="Z267" s="168" t="s">
        <v>22</v>
      </c>
      <c r="AA267" s="167" t="s">
        <v>430</v>
      </c>
      <c r="AB267" s="167" t="s">
        <v>855</v>
      </c>
      <c r="AC267" s="166" t="s">
        <v>856</v>
      </c>
      <c r="AD267" s="166"/>
      <c r="AE267" s="166"/>
      <c r="AF267" s="166"/>
      <c r="AG267" s="166"/>
      <c r="AH267" s="166"/>
      <c r="AI267" s="166"/>
      <c r="AJ267" s="17"/>
      <c r="AK267" s="17"/>
      <c r="AL267" s="17"/>
      <c r="AM267" s="17"/>
    </row>
    <row r="268" spans="2:39" s="2" customFormat="1" ht="102.5">
      <c r="B268" s="2">
        <v>218</v>
      </c>
      <c r="D268" s="37"/>
      <c r="F268" s="2" t="s">
        <v>857</v>
      </c>
      <c r="K268" s="213"/>
      <c r="L268" s="213"/>
      <c r="M268" s="213"/>
      <c r="T268" s="166" t="s">
        <v>376</v>
      </c>
      <c r="U268" s="166"/>
      <c r="V268" s="166" t="s">
        <v>859</v>
      </c>
      <c r="W268" s="167" t="s">
        <v>823</v>
      </c>
      <c r="X268" s="167" t="s">
        <v>664</v>
      </c>
      <c r="Y268" s="167">
        <v>0</v>
      </c>
      <c r="Z268" s="168" t="s">
        <v>22</v>
      </c>
      <c r="AA268" s="167" t="s">
        <v>430</v>
      </c>
      <c r="AB268" s="167" t="s">
        <v>860</v>
      </c>
      <c r="AC268" s="166"/>
      <c r="AD268" s="166"/>
      <c r="AE268" s="166"/>
      <c r="AF268" s="166"/>
      <c r="AG268" s="166"/>
      <c r="AH268" s="166"/>
      <c r="AI268" s="166"/>
      <c r="AJ268" s="17"/>
      <c r="AK268" s="17"/>
      <c r="AL268" s="17"/>
      <c r="AM268" s="17"/>
    </row>
    <row r="269" spans="2:39" s="2" customFormat="1" ht="145">
      <c r="B269" s="2">
        <v>219</v>
      </c>
      <c r="D269" s="37"/>
      <c r="E269" s="2" t="s">
        <v>136</v>
      </c>
      <c r="I269" s="2" t="s">
        <v>376</v>
      </c>
      <c r="K269" s="213" t="s">
        <v>2834</v>
      </c>
      <c r="L269" s="209" t="s">
        <v>2318</v>
      </c>
      <c r="M269" s="217" t="s">
        <v>2324</v>
      </c>
      <c r="N269" s="217" t="s">
        <v>2325</v>
      </c>
      <c r="O269" s="216" t="s">
        <v>22</v>
      </c>
      <c r="P269" s="215" t="s">
        <v>539</v>
      </c>
      <c r="Q269" s="215" t="s">
        <v>2660</v>
      </c>
      <c r="S269" s="17"/>
      <c r="T269" s="166"/>
      <c r="U269" s="166"/>
      <c r="V269" s="166"/>
      <c r="W269" s="166"/>
      <c r="X269" s="171"/>
      <c r="Y269" s="166"/>
      <c r="Z269" s="170"/>
      <c r="AA269" s="166"/>
      <c r="AB269" s="171"/>
      <c r="AC269" s="166"/>
      <c r="AD269" s="166"/>
      <c r="AE269" s="166"/>
      <c r="AF269" s="166"/>
      <c r="AG269" s="166"/>
      <c r="AH269" s="166"/>
      <c r="AI269" s="166"/>
      <c r="AJ269" s="17"/>
      <c r="AK269" s="17"/>
      <c r="AL269" s="17"/>
      <c r="AM269" s="17"/>
    </row>
    <row r="270" spans="2:39" s="2" customFormat="1" ht="58">
      <c r="B270" s="2">
        <v>220</v>
      </c>
      <c r="D270" s="37"/>
      <c r="I270" s="2" t="s">
        <v>376</v>
      </c>
      <c r="K270" s="213" t="s">
        <v>3073</v>
      </c>
      <c r="L270" s="209" t="s">
        <v>2318</v>
      </c>
      <c r="M270" s="217" t="s">
        <v>2324</v>
      </c>
      <c r="N270" s="217" t="s">
        <v>2325</v>
      </c>
      <c r="O270" s="216" t="s">
        <v>22</v>
      </c>
      <c r="P270" s="215" t="s">
        <v>559</v>
      </c>
      <c r="Q270" s="215" t="s">
        <v>2729</v>
      </c>
      <c r="S270" s="17"/>
      <c r="T270" s="166"/>
      <c r="U270" s="166"/>
      <c r="V270" s="166"/>
      <c r="W270" s="166"/>
      <c r="X270" s="171"/>
      <c r="Y270" s="166"/>
      <c r="Z270" s="170"/>
      <c r="AA270" s="166"/>
      <c r="AB270" s="171"/>
      <c r="AC270" s="166"/>
      <c r="AD270" s="166"/>
      <c r="AE270" s="166"/>
      <c r="AF270" s="166"/>
      <c r="AG270" s="166"/>
      <c r="AH270" s="166"/>
      <c r="AI270" s="166"/>
      <c r="AJ270" s="17"/>
      <c r="AK270" s="17"/>
      <c r="AL270" s="17"/>
      <c r="AM270" s="17"/>
    </row>
    <row r="271" spans="2:39" s="2" customFormat="1" ht="88">
      <c r="B271" s="2">
        <v>221</v>
      </c>
      <c r="D271" s="37"/>
      <c r="E271" s="2" t="s">
        <v>137</v>
      </c>
      <c r="G271" s="2" t="s">
        <v>138</v>
      </c>
      <c r="I271" s="2" t="s">
        <v>376</v>
      </c>
      <c r="K271" s="213" t="s">
        <v>3074</v>
      </c>
      <c r="L271" s="209" t="s">
        <v>2318</v>
      </c>
      <c r="M271" s="217" t="s">
        <v>2324</v>
      </c>
      <c r="N271" s="217" t="s">
        <v>2325</v>
      </c>
      <c r="O271" s="216" t="s">
        <v>22</v>
      </c>
      <c r="P271" s="215" t="s">
        <v>2678</v>
      </c>
      <c r="Q271" s="215" t="s">
        <v>2675</v>
      </c>
      <c r="S271" s="17"/>
      <c r="T271" s="166"/>
      <c r="U271" s="166"/>
      <c r="V271" s="166"/>
      <c r="W271" s="166"/>
      <c r="X271" s="166"/>
      <c r="Y271" s="166"/>
      <c r="Z271" s="181"/>
      <c r="AA271" s="166"/>
      <c r="AB271" s="166"/>
      <c r="AC271" s="166"/>
      <c r="AD271" s="166"/>
      <c r="AE271" s="166"/>
      <c r="AF271" s="166"/>
      <c r="AG271" s="166"/>
      <c r="AH271" s="166"/>
      <c r="AI271" s="166"/>
      <c r="AJ271" s="17"/>
      <c r="AK271" s="17"/>
      <c r="AL271" s="17"/>
      <c r="AM271" s="17"/>
    </row>
    <row r="272" spans="2:39" s="2" customFormat="1" ht="43.5">
      <c r="B272" s="2">
        <v>222</v>
      </c>
      <c r="D272" s="37"/>
      <c r="E272" s="2" t="s">
        <v>1622</v>
      </c>
      <c r="I272" s="2" t="s">
        <v>376</v>
      </c>
      <c r="K272" s="213" t="s">
        <v>3075</v>
      </c>
      <c r="L272" s="209" t="s">
        <v>2318</v>
      </c>
      <c r="M272" s="217" t="s">
        <v>2324</v>
      </c>
      <c r="N272" s="217" t="s">
        <v>2325</v>
      </c>
      <c r="O272" s="216" t="s">
        <v>22</v>
      </c>
      <c r="P272" s="215" t="s">
        <v>559</v>
      </c>
      <c r="Q272" s="215" t="s">
        <v>2735</v>
      </c>
      <c r="S272" s="17"/>
      <c r="T272" s="166"/>
      <c r="U272" s="166"/>
      <c r="V272" s="166"/>
      <c r="W272" s="166"/>
      <c r="X272" s="166"/>
      <c r="Y272" s="166"/>
      <c r="Z272" s="181"/>
      <c r="AA272" s="166"/>
      <c r="AB272" s="166"/>
      <c r="AC272" s="166"/>
      <c r="AD272" s="166"/>
      <c r="AE272" s="166"/>
      <c r="AF272" s="166"/>
      <c r="AG272" s="166"/>
      <c r="AH272" s="166"/>
      <c r="AI272" s="166"/>
      <c r="AJ272" s="17"/>
      <c r="AK272" s="17"/>
      <c r="AL272" s="17"/>
      <c r="AM272" s="17"/>
    </row>
    <row r="273" spans="2:39" s="2" customFormat="1" ht="74.5">
      <c r="B273" s="2">
        <v>223</v>
      </c>
      <c r="D273" s="37"/>
      <c r="E273" s="2" t="s">
        <v>139</v>
      </c>
      <c r="F273" s="2" t="s">
        <v>140</v>
      </c>
      <c r="G273" s="2" t="s">
        <v>141</v>
      </c>
      <c r="I273" s="18" t="s">
        <v>376</v>
      </c>
      <c r="K273" s="213" t="s">
        <v>3076</v>
      </c>
      <c r="L273" s="209" t="s">
        <v>2784</v>
      </c>
      <c r="M273" s="239" t="s">
        <v>1598</v>
      </c>
      <c r="N273" s="217"/>
      <c r="O273" s="216" t="s">
        <v>22</v>
      </c>
      <c r="P273" s="215" t="s">
        <v>2960</v>
      </c>
      <c r="Q273" s="215" t="s">
        <v>2907</v>
      </c>
      <c r="S273" s="17"/>
      <c r="T273" s="166"/>
      <c r="U273" s="166"/>
      <c r="V273" s="166"/>
      <c r="W273" s="166"/>
      <c r="X273" s="166"/>
      <c r="Y273" s="166"/>
      <c r="Z273" s="181"/>
      <c r="AA273" s="166"/>
      <c r="AB273" s="166"/>
      <c r="AC273" s="166"/>
      <c r="AD273" s="166"/>
      <c r="AE273" s="166"/>
      <c r="AF273" s="166"/>
      <c r="AG273" s="166"/>
      <c r="AH273" s="166"/>
      <c r="AI273" s="166"/>
      <c r="AJ273" s="17"/>
      <c r="AK273" s="17"/>
      <c r="AL273" s="17"/>
      <c r="AM273" s="17"/>
    </row>
    <row r="274" spans="2:39" s="2" customFormat="1" ht="43.5">
      <c r="B274" s="2">
        <v>224</v>
      </c>
      <c r="D274" s="37"/>
      <c r="F274" s="2" t="s">
        <v>2679</v>
      </c>
      <c r="I274" s="2" t="s">
        <v>376</v>
      </c>
      <c r="K274" s="213" t="s">
        <v>3077</v>
      </c>
      <c r="L274" s="209" t="s">
        <v>2318</v>
      </c>
      <c r="M274" s="217" t="s">
        <v>2324</v>
      </c>
      <c r="N274" s="217" t="s">
        <v>2325</v>
      </c>
      <c r="O274" s="216" t="s">
        <v>22</v>
      </c>
      <c r="P274" s="215" t="s">
        <v>2680</v>
      </c>
      <c r="Q274" s="215" t="s">
        <v>2675</v>
      </c>
      <c r="S274" s="17"/>
      <c r="T274" s="166"/>
      <c r="U274" s="166"/>
      <c r="V274" s="166"/>
      <c r="W274" s="166"/>
      <c r="X274" s="166"/>
      <c r="Y274" s="166"/>
      <c r="Z274" s="181"/>
      <c r="AA274" s="166"/>
      <c r="AB274" s="166"/>
      <c r="AC274" s="166"/>
      <c r="AD274" s="166"/>
      <c r="AE274" s="166"/>
      <c r="AF274" s="166"/>
      <c r="AG274" s="166"/>
      <c r="AH274" s="166"/>
      <c r="AI274" s="166"/>
      <c r="AJ274" s="17"/>
      <c r="AK274" s="17"/>
      <c r="AL274" s="17"/>
      <c r="AM274" s="17"/>
    </row>
    <row r="275" spans="2:39" s="2" customFormat="1" ht="188.5">
      <c r="B275" s="2">
        <v>225</v>
      </c>
      <c r="D275" s="37"/>
      <c r="E275" s="2" t="s">
        <v>361</v>
      </c>
      <c r="F275" s="2" t="s">
        <v>362</v>
      </c>
      <c r="I275" s="2" t="s">
        <v>376</v>
      </c>
      <c r="K275" s="213" t="s">
        <v>3078</v>
      </c>
      <c r="L275" s="209" t="s">
        <v>2318</v>
      </c>
      <c r="M275" s="217" t="s">
        <v>2324</v>
      </c>
      <c r="N275" s="217" t="s">
        <v>2325</v>
      </c>
      <c r="O275" s="216" t="s">
        <v>22</v>
      </c>
      <c r="P275" s="215" t="s">
        <v>539</v>
      </c>
      <c r="Q275" s="215" t="s">
        <v>2665</v>
      </c>
      <c r="S275" s="17"/>
      <c r="T275" s="166" t="s">
        <v>376</v>
      </c>
      <c r="U275" s="166"/>
      <c r="V275" s="166" t="s">
        <v>886</v>
      </c>
      <c r="W275" s="167" t="s">
        <v>823</v>
      </c>
      <c r="X275" s="167" t="s">
        <v>664</v>
      </c>
      <c r="Y275" s="167">
        <v>0</v>
      </c>
      <c r="Z275" s="168" t="s">
        <v>22</v>
      </c>
      <c r="AA275" s="167" t="s">
        <v>689</v>
      </c>
      <c r="AB275" s="167" t="s">
        <v>885</v>
      </c>
      <c r="AC275" s="166" t="s">
        <v>1634</v>
      </c>
      <c r="AD275" s="166"/>
      <c r="AE275" s="166"/>
      <c r="AF275" s="166"/>
      <c r="AG275" s="166"/>
      <c r="AH275" s="166"/>
      <c r="AI275" s="166"/>
      <c r="AJ275" s="17"/>
      <c r="AK275" s="17"/>
      <c r="AL275" s="17"/>
      <c r="AM275" s="17"/>
    </row>
    <row r="276" spans="2:39" s="2" customFormat="1">
      <c r="B276" s="2">
        <v>226</v>
      </c>
      <c r="D276" s="37"/>
      <c r="E276" s="2" t="s">
        <v>145</v>
      </c>
      <c r="F276" s="2" t="s">
        <v>146</v>
      </c>
      <c r="K276" s="213"/>
      <c r="L276" s="213"/>
      <c r="M276" s="213"/>
      <c r="T276" s="166"/>
      <c r="U276" s="166"/>
      <c r="V276" s="166"/>
      <c r="W276" s="166"/>
      <c r="X276" s="166"/>
      <c r="Y276" s="166"/>
      <c r="Z276" s="170"/>
      <c r="AA276" s="166"/>
      <c r="AB276" s="171"/>
      <c r="AC276" s="166"/>
      <c r="AD276" s="166"/>
      <c r="AE276" s="166"/>
      <c r="AF276" s="166"/>
      <c r="AG276" s="166"/>
      <c r="AH276" s="166"/>
      <c r="AI276" s="166"/>
      <c r="AJ276" s="17"/>
      <c r="AK276" s="17"/>
      <c r="AL276" s="17"/>
      <c r="AM276" s="17"/>
    </row>
    <row r="277" spans="2:39" s="2" customFormat="1" ht="188.25" customHeight="1">
      <c r="B277" s="2">
        <v>227</v>
      </c>
      <c r="D277" s="37" t="s">
        <v>415</v>
      </c>
      <c r="E277" s="2" t="s">
        <v>147</v>
      </c>
      <c r="I277" s="2" t="s">
        <v>376</v>
      </c>
      <c r="K277" s="213" t="s">
        <v>2709</v>
      </c>
      <c r="L277" s="209" t="s">
        <v>2318</v>
      </c>
      <c r="M277" s="217" t="s">
        <v>2324</v>
      </c>
      <c r="N277" s="217" t="s">
        <v>2325</v>
      </c>
      <c r="O277" s="216" t="s">
        <v>22</v>
      </c>
      <c r="P277" s="215" t="s">
        <v>2710</v>
      </c>
      <c r="Q277" s="215" t="s">
        <v>2711</v>
      </c>
      <c r="S277" s="17"/>
      <c r="T277" s="166"/>
      <c r="U277" s="166"/>
      <c r="V277" s="166"/>
      <c r="W277" s="166"/>
      <c r="X277" s="166"/>
      <c r="Y277" s="166"/>
      <c r="Z277" s="166"/>
      <c r="AA277" s="166"/>
      <c r="AB277" s="166"/>
      <c r="AC277" s="166"/>
      <c r="AD277" s="166"/>
      <c r="AE277" s="166"/>
      <c r="AF277" s="166"/>
      <c r="AG277" s="166"/>
      <c r="AH277" s="166"/>
      <c r="AI277" s="166"/>
      <c r="AJ277" s="17"/>
      <c r="AK277" s="17"/>
      <c r="AL277" s="17"/>
      <c r="AM277" s="17"/>
    </row>
    <row r="278" spans="2:39" s="2" customFormat="1" ht="158.25" customHeight="1">
      <c r="B278" s="2">
        <v>228</v>
      </c>
      <c r="D278" s="37"/>
      <c r="E278" s="2" t="s">
        <v>148</v>
      </c>
      <c r="F278" s="2" t="s">
        <v>149</v>
      </c>
      <c r="I278" s="2" t="s">
        <v>376</v>
      </c>
      <c r="K278" s="213" t="s">
        <v>3079</v>
      </c>
      <c r="L278" s="209" t="s">
        <v>2318</v>
      </c>
      <c r="M278" s="217" t="s">
        <v>2324</v>
      </c>
      <c r="N278" s="217" t="s">
        <v>2325</v>
      </c>
      <c r="O278" s="216" t="s">
        <v>22</v>
      </c>
      <c r="P278" s="215" t="s">
        <v>539</v>
      </c>
      <c r="Q278" s="215" t="s">
        <v>2670</v>
      </c>
      <c r="S278" s="17"/>
      <c r="T278" s="166"/>
      <c r="U278" s="166"/>
      <c r="V278" s="166"/>
      <c r="W278" s="166"/>
      <c r="X278" s="166"/>
      <c r="Y278" s="166"/>
      <c r="Z278" s="166"/>
      <c r="AA278" s="166"/>
      <c r="AB278" s="166"/>
      <c r="AC278" s="166"/>
      <c r="AD278" s="166"/>
      <c r="AE278" s="166"/>
      <c r="AF278" s="166"/>
      <c r="AG278" s="166"/>
      <c r="AH278" s="166"/>
      <c r="AI278" s="166"/>
      <c r="AJ278" s="17"/>
      <c r="AK278" s="17"/>
      <c r="AL278" s="17"/>
      <c r="AM278" s="17"/>
    </row>
    <row r="279" spans="2:39" s="2" customFormat="1" ht="26">
      <c r="B279" s="2">
        <v>229</v>
      </c>
      <c r="D279" s="37"/>
      <c r="F279" s="2" t="s">
        <v>150</v>
      </c>
      <c r="I279" s="2" t="s">
        <v>376</v>
      </c>
      <c r="K279" s="213" t="s">
        <v>3080</v>
      </c>
      <c r="L279" s="209" t="s">
        <v>2318</v>
      </c>
      <c r="M279" s="217" t="s">
        <v>2324</v>
      </c>
      <c r="N279" s="217" t="s">
        <v>2325</v>
      </c>
      <c r="O279" s="216" t="s">
        <v>22</v>
      </c>
      <c r="P279" s="215" t="s">
        <v>539</v>
      </c>
      <c r="Q279" s="215" t="s">
        <v>2670</v>
      </c>
      <c r="S279" s="17"/>
      <c r="T279" s="166"/>
      <c r="U279" s="166"/>
      <c r="V279" s="166"/>
      <c r="W279" s="166"/>
      <c r="X279" s="166"/>
      <c r="Y279" s="166"/>
      <c r="Z279" s="166"/>
      <c r="AA279" s="166"/>
      <c r="AB279" s="166"/>
      <c r="AC279" s="166"/>
      <c r="AD279" s="166"/>
      <c r="AE279" s="166"/>
      <c r="AF279" s="166"/>
      <c r="AG279" s="166"/>
      <c r="AH279" s="166"/>
      <c r="AI279" s="166"/>
      <c r="AJ279" s="17"/>
      <c r="AK279" s="17"/>
      <c r="AL279" s="17"/>
      <c r="AM279" s="17"/>
    </row>
    <row r="280" spans="2:39" s="2" customFormat="1" ht="71.25" customHeight="1">
      <c r="B280" s="2">
        <v>230</v>
      </c>
      <c r="D280" s="37"/>
      <c r="F280" s="2" t="s">
        <v>151</v>
      </c>
      <c r="I280" s="2" t="s">
        <v>376</v>
      </c>
      <c r="K280" s="213" t="s">
        <v>2669</v>
      </c>
      <c r="L280" s="209" t="s">
        <v>2318</v>
      </c>
      <c r="M280" s="217" t="s">
        <v>2324</v>
      </c>
      <c r="N280" s="217" t="s">
        <v>2325</v>
      </c>
      <c r="O280" s="216" t="s">
        <v>22</v>
      </c>
      <c r="P280" s="215" t="s">
        <v>539</v>
      </c>
      <c r="Q280" s="215" t="s">
        <v>2670</v>
      </c>
      <c r="T280" s="166"/>
      <c r="U280" s="166"/>
      <c r="V280" s="166"/>
      <c r="W280" s="166"/>
      <c r="X280" s="166"/>
      <c r="Y280" s="166"/>
      <c r="Z280" s="166"/>
      <c r="AA280" s="166"/>
      <c r="AB280" s="166"/>
      <c r="AC280" s="166"/>
      <c r="AD280" s="166"/>
      <c r="AE280" s="166"/>
      <c r="AF280" s="166"/>
      <c r="AG280" s="166"/>
      <c r="AH280" s="166"/>
      <c r="AI280" s="166"/>
      <c r="AJ280" s="17"/>
      <c r="AK280" s="17"/>
      <c r="AL280" s="17"/>
      <c r="AM280" s="17"/>
    </row>
    <row r="281" spans="2:39" s="2" customFormat="1">
      <c r="B281" s="2">
        <v>231</v>
      </c>
      <c r="D281" s="37"/>
      <c r="E281" s="2" t="s">
        <v>152</v>
      </c>
      <c r="F281" s="2" t="s">
        <v>89</v>
      </c>
      <c r="K281" s="213"/>
      <c r="L281" s="213"/>
      <c r="M281" s="213"/>
      <c r="T281" s="166" t="s">
        <v>376</v>
      </c>
      <c r="U281" s="166"/>
      <c r="V281" s="166" t="s">
        <v>1656</v>
      </c>
      <c r="W281" s="172" t="s">
        <v>1614</v>
      </c>
      <c r="X281" s="172" t="s">
        <v>692</v>
      </c>
      <c r="Y281" s="172">
        <v>0</v>
      </c>
      <c r="Z281" s="168" t="s">
        <v>22</v>
      </c>
      <c r="AA281" s="167" t="s">
        <v>1654</v>
      </c>
      <c r="AB281" s="167" t="s">
        <v>1655</v>
      </c>
      <c r="AC281" s="166"/>
      <c r="AD281" s="166"/>
      <c r="AE281" s="166"/>
      <c r="AF281" s="166"/>
      <c r="AG281" s="166"/>
      <c r="AH281" s="166"/>
      <c r="AI281" s="166"/>
      <c r="AJ281" s="17"/>
      <c r="AK281" s="17"/>
      <c r="AL281" s="17"/>
      <c r="AM281" s="17"/>
    </row>
    <row r="282" spans="2:39" s="2" customFormat="1">
      <c r="B282" s="2">
        <v>232</v>
      </c>
      <c r="D282" s="37"/>
      <c r="F282" s="2" t="s">
        <v>153</v>
      </c>
      <c r="K282" s="213"/>
      <c r="L282" s="213"/>
      <c r="M282" s="213"/>
      <c r="T282" s="166"/>
      <c r="U282" s="166"/>
      <c r="V282" s="166"/>
      <c r="W282" s="166"/>
      <c r="X282" s="166"/>
      <c r="Y282" s="166"/>
      <c r="Z282" s="166"/>
      <c r="AA282" s="166"/>
      <c r="AB282" s="166"/>
      <c r="AC282" s="166"/>
      <c r="AD282" s="166"/>
      <c r="AE282" s="166"/>
      <c r="AF282" s="166"/>
      <c r="AG282" s="166"/>
      <c r="AH282" s="166"/>
      <c r="AI282" s="166"/>
      <c r="AJ282" s="17"/>
      <c r="AK282" s="17"/>
      <c r="AL282" s="17"/>
      <c r="AM282" s="17"/>
    </row>
    <row r="283" spans="2:39" s="2" customFormat="1">
      <c r="B283" s="2">
        <v>233</v>
      </c>
      <c r="D283" s="37"/>
      <c r="F283" s="2" t="s">
        <v>154</v>
      </c>
      <c r="K283" s="213"/>
      <c r="L283" s="213"/>
      <c r="M283" s="213"/>
      <c r="T283" s="166"/>
      <c r="U283" s="166"/>
      <c r="V283" s="166"/>
      <c r="W283" s="166"/>
      <c r="X283" s="166"/>
      <c r="Y283" s="166"/>
      <c r="Z283" s="166"/>
      <c r="AA283" s="166"/>
      <c r="AB283" s="166"/>
      <c r="AC283" s="166"/>
      <c r="AD283" s="166"/>
      <c r="AE283" s="166"/>
      <c r="AF283" s="166"/>
      <c r="AG283" s="166"/>
      <c r="AH283" s="166"/>
      <c r="AI283" s="166"/>
      <c r="AJ283" s="17"/>
      <c r="AK283" s="17"/>
      <c r="AL283" s="17"/>
      <c r="AM283" s="17"/>
    </row>
    <row r="284" spans="2:39" s="2" customFormat="1">
      <c r="B284" s="2">
        <v>234</v>
      </c>
      <c r="D284" s="37"/>
      <c r="F284" s="2" t="s">
        <v>155</v>
      </c>
      <c r="K284" s="213"/>
      <c r="L284" s="213"/>
      <c r="M284" s="213"/>
      <c r="T284" s="166"/>
      <c r="U284" s="166"/>
      <c r="V284" s="166"/>
      <c r="W284" s="166"/>
      <c r="X284" s="166"/>
      <c r="Y284" s="166"/>
      <c r="Z284" s="166"/>
      <c r="AA284" s="166"/>
      <c r="AB284" s="166"/>
      <c r="AC284" s="166"/>
      <c r="AD284" s="166"/>
      <c r="AE284" s="166"/>
      <c r="AF284" s="166"/>
      <c r="AG284" s="166"/>
      <c r="AH284" s="166"/>
      <c r="AI284" s="166"/>
      <c r="AJ284" s="17"/>
      <c r="AK284" s="17"/>
      <c r="AL284" s="17"/>
      <c r="AM284" s="17"/>
    </row>
    <row r="285" spans="2:39" s="2" customFormat="1" ht="29">
      <c r="B285" s="2">
        <v>235</v>
      </c>
      <c r="D285" s="37"/>
      <c r="E285" s="2" t="s">
        <v>156</v>
      </c>
      <c r="F285" s="2" t="s">
        <v>157</v>
      </c>
      <c r="K285" s="213"/>
      <c r="L285" s="213"/>
      <c r="M285" s="213"/>
      <c r="T285" s="166"/>
      <c r="U285" s="166"/>
      <c r="V285" s="166"/>
      <c r="W285" s="166"/>
      <c r="X285" s="166"/>
      <c r="Y285" s="166"/>
      <c r="Z285" s="166"/>
      <c r="AA285" s="166"/>
      <c r="AB285" s="166"/>
      <c r="AC285" s="166"/>
      <c r="AD285" s="166"/>
      <c r="AE285" s="166"/>
      <c r="AF285" s="166"/>
      <c r="AG285" s="166"/>
      <c r="AH285" s="166"/>
      <c r="AI285" s="166"/>
      <c r="AJ285" s="17"/>
      <c r="AK285" s="17"/>
      <c r="AL285" s="17"/>
      <c r="AM285" s="17"/>
    </row>
    <row r="286" spans="2:39" s="2" customFormat="1" ht="58">
      <c r="B286" s="2">
        <v>236</v>
      </c>
      <c r="D286" s="37" t="s">
        <v>334</v>
      </c>
      <c r="E286" s="17" t="s">
        <v>133</v>
      </c>
      <c r="I286" s="2" t="s">
        <v>376</v>
      </c>
      <c r="K286" s="213" t="s">
        <v>2715</v>
      </c>
      <c r="L286" s="209" t="s">
        <v>2318</v>
      </c>
      <c r="M286" s="217" t="s">
        <v>2324</v>
      </c>
      <c r="N286" s="217" t="s">
        <v>2325</v>
      </c>
      <c r="O286" s="216" t="s">
        <v>22</v>
      </c>
      <c r="P286" s="215" t="s">
        <v>2698</v>
      </c>
      <c r="Q286" s="215" t="s">
        <v>2699</v>
      </c>
      <c r="S286" s="17"/>
      <c r="T286" s="166" t="s">
        <v>376</v>
      </c>
      <c r="U286" s="166"/>
      <c r="V286" s="166" t="s">
        <v>869</v>
      </c>
      <c r="W286" s="167" t="s">
        <v>823</v>
      </c>
      <c r="X286" s="167" t="s">
        <v>664</v>
      </c>
      <c r="Y286" s="167">
        <v>0</v>
      </c>
      <c r="Z286" s="168" t="s">
        <v>22</v>
      </c>
      <c r="AA286" s="167" t="s">
        <v>680</v>
      </c>
      <c r="AB286" s="167" t="s">
        <v>862</v>
      </c>
      <c r="AC286" s="166"/>
      <c r="AD286" s="166"/>
      <c r="AE286" s="166"/>
      <c r="AF286" s="166"/>
      <c r="AG286" s="166"/>
      <c r="AH286" s="166"/>
      <c r="AI286" s="166"/>
      <c r="AJ286" s="17"/>
      <c r="AK286" s="17"/>
      <c r="AL286" s="17"/>
      <c r="AM286" s="17"/>
    </row>
    <row r="287" spans="2:39" s="2" customFormat="1" ht="58">
      <c r="B287" s="2">
        <v>237</v>
      </c>
      <c r="D287" s="37"/>
      <c r="E287" s="17" t="s">
        <v>870</v>
      </c>
      <c r="T287" s="166" t="s">
        <v>376</v>
      </c>
      <c r="U287" s="166"/>
      <c r="V287" s="166" t="s">
        <v>871</v>
      </c>
      <c r="W287" s="167" t="s">
        <v>823</v>
      </c>
      <c r="X287" s="167" t="s">
        <v>664</v>
      </c>
      <c r="Y287" s="167">
        <v>0</v>
      </c>
      <c r="Z287" s="168" t="s">
        <v>22</v>
      </c>
      <c r="AA287" s="167" t="s">
        <v>680</v>
      </c>
      <c r="AB287" s="167" t="s">
        <v>873</v>
      </c>
      <c r="AC287" s="166"/>
      <c r="AD287" s="166"/>
      <c r="AE287" s="166"/>
      <c r="AF287" s="166"/>
      <c r="AG287" s="166"/>
      <c r="AH287" s="166"/>
      <c r="AI287" s="166"/>
      <c r="AJ287" s="17"/>
      <c r="AK287" s="17"/>
      <c r="AL287" s="17"/>
      <c r="AM287" s="17"/>
    </row>
    <row r="288" spans="2:39" s="2" customFormat="1" ht="159.5">
      <c r="B288" s="2">
        <v>238</v>
      </c>
      <c r="D288" s="37"/>
      <c r="E288" s="17"/>
      <c r="F288" s="2" t="s">
        <v>1622</v>
      </c>
      <c r="K288" s="213"/>
      <c r="L288" s="213"/>
      <c r="M288" s="213"/>
      <c r="T288" s="166" t="s">
        <v>376</v>
      </c>
      <c r="U288" s="166"/>
      <c r="V288" s="166" t="s">
        <v>1621</v>
      </c>
      <c r="W288" s="172" t="s">
        <v>1614</v>
      </c>
      <c r="X288" s="172" t="s">
        <v>692</v>
      </c>
      <c r="Y288" s="172">
        <v>0</v>
      </c>
      <c r="Z288" s="168" t="s">
        <v>22</v>
      </c>
      <c r="AA288" s="167" t="s">
        <v>1100</v>
      </c>
      <c r="AB288" s="167" t="s">
        <v>1623</v>
      </c>
      <c r="AC288" s="166"/>
      <c r="AD288" s="166"/>
      <c r="AE288" s="166"/>
      <c r="AF288" s="166"/>
      <c r="AG288" s="166"/>
      <c r="AH288" s="166"/>
      <c r="AI288" s="166"/>
      <c r="AJ288" s="17"/>
      <c r="AK288" s="17"/>
      <c r="AL288" s="17"/>
      <c r="AM288" s="17"/>
    </row>
    <row r="289" spans="2:39" s="2" customFormat="1" ht="43.5">
      <c r="B289" s="2">
        <v>239</v>
      </c>
      <c r="D289" s="37"/>
      <c r="E289" s="17"/>
      <c r="F289" s="17" t="s">
        <v>1641</v>
      </c>
      <c r="K289" s="213"/>
      <c r="L289" s="213"/>
      <c r="M289" s="213"/>
      <c r="T289" s="166" t="s">
        <v>376</v>
      </c>
      <c r="U289" s="166"/>
      <c r="V289" s="166" t="s">
        <v>1644</v>
      </c>
      <c r="W289" s="172" t="s">
        <v>1614</v>
      </c>
      <c r="X289" s="172" t="s">
        <v>692</v>
      </c>
      <c r="Y289" s="172">
        <v>0</v>
      </c>
      <c r="Z289" s="168" t="s">
        <v>22</v>
      </c>
      <c r="AA289" s="167" t="s">
        <v>554</v>
      </c>
      <c r="AB289" s="167" t="s">
        <v>1640</v>
      </c>
      <c r="AC289" s="166"/>
      <c r="AD289" s="166"/>
      <c r="AE289" s="166"/>
      <c r="AF289" s="166"/>
      <c r="AG289" s="166"/>
      <c r="AH289" s="166"/>
      <c r="AI289" s="166"/>
      <c r="AJ289" s="17"/>
      <c r="AK289" s="17"/>
      <c r="AL289" s="17"/>
      <c r="AM289" s="17"/>
    </row>
    <row r="290" spans="2:39" s="2" customFormat="1" ht="275.25" customHeight="1">
      <c r="B290" s="2">
        <v>240</v>
      </c>
      <c r="D290" s="37"/>
      <c r="F290" s="2" t="s">
        <v>388</v>
      </c>
      <c r="G290" s="2" t="s">
        <v>881</v>
      </c>
      <c r="I290" s="2" t="s">
        <v>376</v>
      </c>
      <c r="K290" s="213" t="s">
        <v>2716</v>
      </c>
      <c r="L290" s="209" t="s">
        <v>2318</v>
      </c>
      <c r="M290" s="217" t="s">
        <v>2324</v>
      </c>
      <c r="N290" s="217" t="s">
        <v>2325</v>
      </c>
      <c r="O290" s="216" t="s">
        <v>22</v>
      </c>
      <c r="P290" s="215" t="s">
        <v>2700</v>
      </c>
      <c r="Q290" s="215" t="s">
        <v>2699</v>
      </c>
      <c r="S290" s="17"/>
      <c r="T290" s="166" t="s">
        <v>376</v>
      </c>
      <c r="U290" s="166"/>
      <c r="V290" s="166" t="s">
        <v>1652</v>
      </c>
      <c r="W290" s="172" t="s">
        <v>1614</v>
      </c>
      <c r="X290" s="172" t="s">
        <v>692</v>
      </c>
      <c r="Y290" s="172">
        <v>0</v>
      </c>
      <c r="Z290" s="168" t="s">
        <v>22</v>
      </c>
      <c r="AA290" s="167" t="s">
        <v>767</v>
      </c>
      <c r="AB290" s="167" t="s">
        <v>1650</v>
      </c>
      <c r="AC290" s="166"/>
      <c r="AD290" s="166"/>
      <c r="AE290" s="166"/>
      <c r="AF290" s="166"/>
      <c r="AG290" s="166"/>
      <c r="AH290" s="166"/>
      <c r="AI290" s="166"/>
      <c r="AJ290" s="17"/>
      <c r="AK290" s="17" t="s">
        <v>605</v>
      </c>
      <c r="AL290" s="17"/>
      <c r="AM290" s="17"/>
    </row>
    <row r="291" spans="2:39" s="2" customFormat="1" ht="43.5">
      <c r="B291" s="2">
        <v>241</v>
      </c>
      <c r="D291" s="37"/>
      <c r="I291" s="2" t="s">
        <v>376</v>
      </c>
      <c r="K291" s="213" t="s">
        <v>2717</v>
      </c>
      <c r="L291" s="209" t="s">
        <v>2318</v>
      </c>
      <c r="M291" s="217" t="s">
        <v>2324</v>
      </c>
      <c r="N291" s="217" t="s">
        <v>2325</v>
      </c>
      <c r="O291" s="216" t="s">
        <v>22</v>
      </c>
      <c r="P291" s="215" t="s">
        <v>2700</v>
      </c>
      <c r="Q291" s="215" t="s">
        <v>2719</v>
      </c>
      <c r="S291" s="17"/>
      <c r="T291" s="166"/>
      <c r="U291" s="166"/>
      <c r="V291" s="166"/>
      <c r="W291" s="172"/>
      <c r="X291" s="172"/>
      <c r="Y291" s="172"/>
      <c r="Z291" s="168"/>
      <c r="AA291" s="167"/>
      <c r="AB291" s="167"/>
      <c r="AC291" s="166"/>
      <c r="AD291" s="166"/>
      <c r="AE291" s="166"/>
      <c r="AF291" s="166"/>
      <c r="AG291" s="166"/>
      <c r="AH291" s="166"/>
      <c r="AI291" s="166"/>
      <c r="AJ291" s="17"/>
      <c r="AK291" s="17"/>
      <c r="AL291" s="17"/>
      <c r="AM291" s="17"/>
    </row>
    <row r="292" spans="2:39" s="2" customFormat="1" ht="58">
      <c r="B292" s="2">
        <v>242</v>
      </c>
      <c r="D292" s="37"/>
      <c r="I292" s="2" t="s">
        <v>376</v>
      </c>
      <c r="K292" s="213" t="s">
        <v>2718</v>
      </c>
      <c r="L292" s="209" t="s">
        <v>2318</v>
      </c>
      <c r="M292" s="217" t="s">
        <v>2324</v>
      </c>
      <c r="N292" s="217" t="s">
        <v>2325</v>
      </c>
      <c r="O292" s="216" t="s">
        <v>22</v>
      </c>
      <c r="P292" s="215" t="s">
        <v>2700</v>
      </c>
      <c r="Q292" s="215" t="s">
        <v>2719</v>
      </c>
      <c r="T292" s="166"/>
      <c r="U292" s="166"/>
      <c r="V292" s="166"/>
      <c r="W292" s="172"/>
      <c r="X292" s="172"/>
      <c r="Y292" s="172"/>
      <c r="Z292" s="168"/>
      <c r="AA292" s="167"/>
      <c r="AB292" s="167"/>
      <c r="AC292" s="166"/>
      <c r="AD292" s="166"/>
      <c r="AE292" s="166"/>
      <c r="AF292" s="166"/>
      <c r="AG292" s="166"/>
      <c r="AH292" s="166"/>
      <c r="AI292" s="166"/>
      <c r="AJ292" s="17"/>
      <c r="AK292" s="17"/>
      <c r="AL292" s="17"/>
      <c r="AM292" s="17"/>
    </row>
    <row r="293" spans="2:39" s="2" customFormat="1" ht="43.5">
      <c r="B293" s="2">
        <v>243</v>
      </c>
      <c r="D293" s="37"/>
      <c r="I293" s="2" t="s">
        <v>376</v>
      </c>
      <c r="K293" s="213" t="s">
        <v>2720</v>
      </c>
      <c r="L293" s="209" t="s">
        <v>2318</v>
      </c>
      <c r="M293" s="217" t="s">
        <v>2324</v>
      </c>
      <c r="N293" s="217" t="s">
        <v>2325</v>
      </c>
      <c r="O293" s="216" t="s">
        <v>22</v>
      </c>
      <c r="P293" s="215" t="s">
        <v>2700</v>
      </c>
      <c r="Q293" s="215" t="s">
        <v>2719</v>
      </c>
      <c r="S293" s="17"/>
      <c r="T293" s="166"/>
      <c r="U293" s="166"/>
      <c r="V293" s="166"/>
      <c r="W293" s="172"/>
      <c r="X293" s="172"/>
      <c r="Y293" s="172"/>
      <c r="Z293" s="168"/>
      <c r="AA293" s="167"/>
      <c r="AB293" s="167"/>
      <c r="AC293" s="166"/>
      <c r="AD293" s="166"/>
      <c r="AE293" s="166"/>
      <c r="AF293" s="166"/>
      <c r="AG293" s="166"/>
      <c r="AH293" s="166"/>
      <c r="AI293" s="166"/>
      <c r="AJ293" s="17"/>
      <c r="AK293" s="17"/>
      <c r="AL293" s="17"/>
      <c r="AM293" s="17"/>
    </row>
    <row r="294" spans="2:39" s="2" customFormat="1" ht="169.5" customHeight="1">
      <c r="B294" s="2">
        <v>244</v>
      </c>
      <c r="D294" s="37"/>
      <c r="E294" s="2" t="s">
        <v>2721</v>
      </c>
      <c r="I294" s="2" t="s">
        <v>376</v>
      </c>
      <c r="K294" s="213" t="s">
        <v>3081</v>
      </c>
      <c r="L294" s="209" t="s">
        <v>2318</v>
      </c>
      <c r="M294" s="217" t="s">
        <v>2324</v>
      </c>
      <c r="N294" s="217" t="s">
        <v>2325</v>
      </c>
      <c r="O294" s="216" t="s">
        <v>22</v>
      </c>
      <c r="P294" s="215" t="s">
        <v>2700</v>
      </c>
      <c r="Q294" s="215" t="s">
        <v>2719</v>
      </c>
      <c r="S294" s="17"/>
      <c r="T294" s="166"/>
      <c r="U294" s="166"/>
      <c r="V294" s="166"/>
      <c r="W294" s="172"/>
      <c r="X294" s="172"/>
      <c r="Y294" s="172"/>
      <c r="Z294" s="168"/>
      <c r="AA294" s="167"/>
      <c r="AB294" s="167"/>
      <c r="AC294" s="166"/>
      <c r="AD294" s="166"/>
      <c r="AE294" s="166"/>
      <c r="AF294" s="166"/>
      <c r="AG294" s="166"/>
      <c r="AH294" s="166"/>
      <c r="AI294" s="166"/>
      <c r="AJ294" s="17"/>
      <c r="AK294" s="17"/>
      <c r="AL294" s="17"/>
      <c r="AM294" s="17"/>
    </row>
    <row r="295" spans="2:39" s="2" customFormat="1" ht="116">
      <c r="B295" s="2">
        <v>245</v>
      </c>
      <c r="D295" s="37"/>
      <c r="E295" s="2" t="s">
        <v>337</v>
      </c>
      <c r="F295" s="17" t="s">
        <v>338</v>
      </c>
      <c r="I295" s="2" t="s">
        <v>376</v>
      </c>
      <c r="K295" s="213" t="s">
        <v>2694</v>
      </c>
      <c r="L295" s="209" t="s">
        <v>2318</v>
      </c>
      <c r="M295" s="217" t="s">
        <v>2324</v>
      </c>
      <c r="N295" s="217" t="s">
        <v>2325</v>
      </c>
      <c r="O295" s="216" t="s">
        <v>22</v>
      </c>
      <c r="P295" s="215" t="s">
        <v>2695</v>
      </c>
      <c r="Q295" s="215" t="s">
        <v>2696</v>
      </c>
      <c r="R295" s="2" t="s">
        <v>2697</v>
      </c>
      <c r="T295" s="166" t="s">
        <v>376</v>
      </c>
      <c r="U295" s="166"/>
      <c r="V295" s="166" t="s">
        <v>872</v>
      </c>
      <c r="W295" s="167" t="s">
        <v>823</v>
      </c>
      <c r="X295" s="167" t="s">
        <v>664</v>
      </c>
      <c r="Y295" s="167">
        <v>0</v>
      </c>
      <c r="Z295" s="168" t="s">
        <v>22</v>
      </c>
      <c r="AA295" s="167" t="s">
        <v>680</v>
      </c>
      <c r="AB295" s="167" t="s">
        <v>873</v>
      </c>
      <c r="AC295" s="166"/>
      <c r="AD295" s="166"/>
      <c r="AE295" s="166"/>
      <c r="AF295" s="166"/>
      <c r="AG295" s="166"/>
      <c r="AH295" s="166"/>
      <c r="AI295" s="166"/>
      <c r="AJ295" s="17"/>
      <c r="AK295" s="17"/>
      <c r="AL295" s="17"/>
      <c r="AM295" s="17"/>
    </row>
    <row r="296" spans="2:39" s="2" customFormat="1" ht="159.5">
      <c r="B296" s="2">
        <v>246</v>
      </c>
      <c r="D296" s="37"/>
      <c r="F296" s="17" t="s">
        <v>852</v>
      </c>
      <c r="K296" s="213"/>
      <c r="L296" s="213"/>
      <c r="M296" s="213"/>
      <c r="T296" s="166" t="s">
        <v>376</v>
      </c>
      <c r="U296" s="166"/>
      <c r="V296" s="166" t="s">
        <v>1367</v>
      </c>
      <c r="W296" s="172" t="s">
        <v>1110</v>
      </c>
      <c r="X296" s="172" t="s">
        <v>1111</v>
      </c>
      <c r="Y296" s="172">
        <v>0</v>
      </c>
      <c r="Z296" s="168" t="s">
        <v>22</v>
      </c>
      <c r="AA296" s="166" t="s">
        <v>1365</v>
      </c>
      <c r="AB296" s="169" t="s">
        <v>1362</v>
      </c>
      <c r="AC296" s="166"/>
      <c r="AD296" s="166"/>
      <c r="AE296" s="166"/>
      <c r="AF296" s="166"/>
      <c r="AG296" s="166"/>
      <c r="AH296" s="166"/>
      <c r="AI296" s="166"/>
      <c r="AJ296" s="17"/>
      <c r="AK296" s="17"/>
      <c r="AL296" s="17"/>
      <c r="AM296" s="17"/>
    </row>
    <row r="297" spans="2:39" s="2" customFormat="1" ht="29">
      <c r="B297" s="2">
        <v>247</v>
      </c>
      <c r="D297" s="37"/>
      <c r="F297" s="17" t="s">
        <v>1641</v>
      </c>
      <c r="K297" s="213"/>
      <c r="L297" s="213"/>
      <c r="M297" s="213"/>
      <c r="T297" s="166" t="s">
        <v>376</v>
      </c>
      <c r="U297" s="166"/>
      <c r="V297" s="166" t="s">
        <v>1642</v>
      </c>
      <c r="W297" s="172" t="s">
        <v>1614</v>
      </c>
      <c r="X297" s="172" t="s">
        <v>692</v>
      </c>
      <c r="Y297" s="172">
        <v>0</v>
      </c>
      <c r="Z297" s="168" t="s">
        <v>22</v>
      </c>
      <c r="AA297" s="167" t="s">
        <v>554</v>
      </c>
      <c r="AB297" s="167" t="s">
        <v>1640</v>
      </c>
      <c r="AC297" s="166"/>
      <c r="AD297" s="166"/>
      <c r="AE297" s="166"/>
      <c r="AF297" s="166"/>
      <c r="AG297" s="166"/>
      <c r="AH297" s="166"/>
      <c r="AI297" s="166"/>
      <c r="AJ297" s="17"/>
      <c r="AK297" s="17"/>
      <c r="AL297" s="17"/>
      <c r="AM297" s="17"/>
    </row>
    <row r="298" spans="2:39" s="2" customFormat="1" ht="145">
      <c r="B298" s="2">
        <v>248</v>
      </c>
      <c r="D298" s="37"/>
      <c r="F298" s="2" t="s">
        <v>388</v>
      </c>
      <c r="G298" s="2" t="s">
        <v>881</v>
      </c>
      <c r="I298" s="2" t="s">
        <v>376</v>
      </c>
      <c r="K298" s="213" t="s">
        <v>3082</v>
      </c>
      <c r="L298" s="209" t="s">
        <v>2318</v>
      </c>
      <c r="M298" s="217" t="s">
        <v>2324</v>
      </c>
      <c r="N298" s="217" t="s">
        <v>2325</v>
      </c>
      <c r="O298" s="216" t="s">
        <v>22</v>
      </c>
      <c r="P298" s="215" t="s">
        <v>2700</v>
      </c>
      <c r="Q298" s="215" t="s">
        <v>2708</v>
      </c>
      <c r="S298" s="17"/>
      <c r="T298" s="166" t="s">
        <v>376</v>
      </c>
      <c r="U298" s="166"/>
      <c r="V298" s="166" t="s">
        <v>1653</v>
      </c>
      <c r="W298" s="172" t="s">
        <v>1614</v>
      </c>
      <c r="X298" s="172" t="s">
        <v>692</v>
      </c>
      <c r="Y298" s="172">
        <v>0</v>
      </c>
      <c r="Z298" s="168" t="s">
        <v>22</v>
      </c>
      <c r="AA298" s="167" t="s">
        <v>619</v>
      </c>
      <c r="AB298" s="167" t="s">
        <v>1651</v>
      </c>
      <c r="AC298" s="166"/>
      <c r="AD298" s="166"/>
      <c r="AE298" s="166"/>
      <c r="AF298" s="166"/>
      <c r="AG298" s="166"/>
      <c r="AH298" s="166"/>
      <c r="AI298" s="166"/>
      <c r="AJ298" s="17"/>
      <c r="AK298" s="17"/>
      <c r="AL298" s="17"/>
      <c r="AM298" s="17"/>
    </row>
    <row r="299" spans="2:39" s="2" customFormat="1" ht="87">
      <c r="B299" s="2">
        <v>249</v>
      </c>
      <c r="D299" s="37"/>
      <c r="E299" s="2" t="s">
        <v>874</v>
      </c>
      <c r="F299" s="17"/>
      <c r="K299" s="213"/>
      <c r="L299" s="213"/>
      <c r="M299" s="213"/>
      <c r="T299" s="166" t="s">
        <v>376</v>
      </c>
      <c r="U299" s="166"/>
      <c r="V299" s="166" t="s">
        <v>875</v>
      </c>
      <c r="W299" s="167" t="s">
        <v>823</v>
      </c>
      <c r="X299" s="167" t="s">
        <v>664</v>
      </c>
      <c r="Y299" s="167">
        <v>0</v>
      </c>
      <c r="Z299" s="168" t="s">
        <v>22</v>
      </c>
      <c r="AA299" s="167" t="s">
        <v>680</v>
      </c>
      <c r="AB299" s="167" t="s">
        <v>873</v>
      </c>
      <c r="AC299" s="166"/>
      <c r="AD299" s="166"/>
      <c r="AE299" s="166"/>
      <c r="AF299" s="166"/>
      <c r="AG299" s="166"/>
      <c r="AH299" s="166"/>
      <c r="AI299" s="166"/>
      <c r="AJ299" s="17"/>
      <c r="AK299" s="17"/>
      <c r="AL299" s="17"/>
      <c r="AM299" s="17"/>
    </row>
    <row r="300" spans="2:39" s="2" customFormat="1" ht="29">
      <c r="B300" s="2">
        <v>250</v>
      </c>
      <c r="D300" s="37"/>
      <c r="F300" s="17" t="s">
        <v>1641</v>
      </c>
      <c r="I300" s="2" t="s">
        <v>376</v>
      </c>
      <c r="K300" s="213" t="s">
        <v>3121</v>
      </c>
      <c r="L300" s="209" t="s">
        <v>2318</v>
      </c>
      <c r="M300" s="217" t="s">
        <v>2324</v>
      </c>
      <c r="N300" s="217" t="s">
        <v>2325</v>
      </c>
      <c r="O300" s="216" t="s">
        <v>22</v>
      </c>
      <c r="P300" s="215" t="s">
        <v>2700</v>
      </c>
      <c r="Q300" s="215" t="s">
        <v>2708</v>
      </c>
      <c r="T300" s="166" t="s">
        <v>376</v>
      </c>
      <c r="U300" s="166"/>
      <c r="V300" s="166" t="s">
        <v>1643</v>
      </c>
      <c r="W300" s="172" t="s">
        <v>1614</v>
      </c>
      <c r="X300" s="172" t="s">
        <v>692</v>
      </c>
      <c r="Y300" s="172">
        <v>0</v>
      </c>
      <c r="Z300" s="168" t="s">
        <v>22</v>
      </c>
      <c r="AA300" s="167" t="s">
        <v>554</v>
      </c>
      <c r="AB300" s="167" t="s">
        <v>1640</v>
      </c>
      <c r="AC300" s="166"/>
      <c r="AD300" s="166"/>
      <c r="AE300" s="166"/>
      <c r="AF300" s="166"/>
      <c r="AG300" s="166"/>
      <c r="AH300" s="166"/>
      <c r="AI300" s="166"/>
      <c r="AJ300" s="17"/>
      <c r="AK300" s="17"/>
      <c r="AL300" s="17"/>
      <c r="AM300" s="17"/>
    </row>
    <row r="301" spans="2:39" s="2" customFormat="1" ht="58">
      <c r="B301" s="2">
        <v>251</v>
      </c>
      <c r="D301" s="37"/>
      <c r="E301" s="2" t="s">
        <v>877</v>
      </c>
      <c r="F301" s="17"/>
      <c r="K301" s="213"/>
      <c r="L301" s="213"/>
      <c r="M301" s="213"/>
      <c r="T301" s="166" t="s">
        <v>376</v>
      </c>
      <c r="U301" s="166"/>
      <c r="V301" s="166" t="s">
        <v>876</v>
      </c>
      <c r="W301" s="167" t="s">
        <v>823</v>
      </c>
      <c r="X301" s="167" t="s">
        <v>664</v>
      </c>
      <c r="Y301" s="167">
        <v>0</v>
      </c>
      <c r="Z301" s="168" t="s">
        <v>22</v>
      </c>
      <c r="AA301" s="167" t="s">
        <v>680</v>
      </c>
      <c r="AB301" s="167" t="s">
        <v>873</v>
      </c>
      <c r="AC301" s="166"/>
      <c r="AD301" s="166"/>
      <c r="AE301" s="166"/>
      <c r="AF301" s="166"/>
      <c r="AG301" s="166"/>
      <c r="AH301" s="166"/>
      <c r="AI301" s="166"/>
      <c r="AJ301" s="17"/>
      <c r="AK301" s="17"/>
      <c r="AL301" s="17"/>
      <c r="AM301" s="17"/>
    </row>
    <row r="302" spans="2:39" s="2" customFormat="1" ht="43.5">
      <c r="B302" s="2">
        <v>252</v>
      </c>
      <c r="D302" s="37"/>
      <c r="E302" s="2" t="s">
        <v>879</v>
      </c>
      <c r="F302" s="17"/>
      <c r="K302" s="213"/>
      <c r="L302" s="213"/>
      <c r="M302" s="213"/>
      <c r="T302" s="166" t="s">
        <v>376</v>
      </c>
      <c r="U302" s="166"/>
      <c r="V302" s="166" t="s">
        <v>878</v>
      </c>
      <c r="W302" s="167" t="s">
        <v>823</v>
      </c>
      <c r="X302" s="167" t="s">
        <v>664</v>
      </c>
      <c r="Y302" s="167">
        <v>0</v>
      </c>
      <c r="Z302" s="168" t="s">
        <v>22</v>
      </c>
      <c r="AA302" s="167" t="s">
        <v>680</v>
      </c>
      <c r="AB302" s="167" t="s">
        <v>873</v>
      </c>
      <c r="AC302" s="166"/>
      <c r="AD302" s="166"/>
      <c r="AE302" s="166"/>
      <c r="AF302" s="166"/>
      <c r="AG302" s="166"/>
      <c r="AH302" s="166"/>
      <c r="AI302" s="166"/>
      <c r="AJ302" s="17"/>
      <c r="AK302" s="17"/>
      <c r="AL302" s="17"/>
      <c r="AM302" s="17"/>
    </row>
    <row r="303" spans="2:39" s="2" customFormat="1">
      <c r="B303" s="2">
        <v>253</v>
      </c>
      <c r="D303" s="37"/>
      <c r="E303" s="2" t="s">
        <v>335</v>
      </c>
      <c r="F303" s="17" t="s">
        <v>336</v>
      </c>
      <c r="K303" s="213"/>
      <c r="L303" s="213"/>
      <c r="M303" s="213"/>
      <c r="T303" s="166"/>
      <c r="U303" s="166"/>
      <c r="V303" s="166"/>
      <c r="W303" s="166"/>
      <c r="X303" s="166"/>
      <c r="Y303" s="166"/>
      <c r="Z303" s="170"/>
      <c r="AA303" s="166"/>
      <c r="AB303" s="171"/>
      <c r="AC303" s="166"/>
      <c r="AD303" s="166"/>
      <c r="AE303" s="166"/>
      <c r="AF303" s="166"/>
      <c r="AG303" s="166"/>
      <c r="AH303" s="166"/>
      <c r="AI303" s="166"/>
      <c r="AJ303" s="17"/>
      <c r="AK303" s="17"/>
      <c r="AL303" s="17"/>
      <c r="AM303" s="17"/>
    </row>
    <row r="304" spans="2:39" s="2" customFormat="1">
      <c r="B304" s="2">
        <v>254</v>
      </c>
      <c r="D304" s="37"/>
      <c r="E304" s="2" t="s">
        <v>395</v>
      </c>
      <c r="F304" s="17" t="s">
        <v>396</v>
      </c>
      <c r="G304" s="2" t="s">
        <v>397</v>
      </c>
      <c r="K304" s="213"/>
      <c r="L304" s="213"/>
      <c r="M304" s="213"/>
      <c r="T304" s="166"/>
      <c r="U304" s="166"/>
      <c r="V304" s="166"/>
      <c r="W304" s="166"/>
      <c r="X304" s="166"/>
      <c r="Y304" s="166"/>
      <c r="Z304" s="170"/>
      <c r="AA304" s="166"/>
      <c r="AB304" s="171"/>
      <c r="AC304" s="166"/>
      <c r="AD304" s="166"/>
      <c r="AE304" s="166"/>
      <c r="AF304" s="166"/>
      <c r="AG304" s="166"/>
      <c r="AH304" s="166"/>
      <c r="AI304" s="166"/>
      <c r="AJ304" s="17"/>
      <c r="AK304" s="17"/>
      <c r="AL304" s="17"/>
      <c r="AM304" s="17"/>
    </row>
    <row r="305" spans="2:39" s="2" customFormat="1">
      <c r="B305" s="2">
        <v>255</v>
      </c>
      <c r="D305" s="37"/>
      <c r="E305" s="2" t="s">
        <v>398</v>
      </c>
      <c r="F305" s="17"/>
      <c r="K305" s="213"/>
      <c r="L305" s="213"/>
      <c r="M305" s="213"/>
      <c r="T305" s="166"/>
      <c r="U305" s="166"/>
      <c r="V305" s="166"/>
      <c r="W305" s="166"/>
      <c r="X305" s="166"/>
      <c r="Y305" s="166"/>
      <c r="Z305" s="170"/>
      <c r="AA305" s="166"/>
      <c r="AB305" s="171"/>
      <c r="AC305" s="166"/>
      <c r="AD305" s="166"/>
      <c r="AE305" s="166"/>
      <c r="AF305" s="166"/>
      <c r="AG305" s="166"/>
      <c r="AH305" s="166"/>
      <c r="AI305" s="166"/>
      <c r="AJ305" s="17"/>
      <c r="AK305" s="17"/>
      <c r="AL305" s="17"/>
      <c r="AM305" s="17"/>
    </row>
    <row r="306" spans="2:39" s="2" customFormat="1">
      <c r="B306" s="2">
        <v>256</v>
      </c>
      <c r="D306" s="37"/>
      <c r="E306" s="2" t="s">
        <v>399</v>
      </c>
      <c r="F306" s="17"/>
      <c r="K306" s="213"/>
      <c r="L306" s="213"/>
      <c r="M306" s="213"/>
      <c r="T306" s="166"/>
      <c r="U306" s="166"/>
      <c r="V306" s="166"/>
      <c r="W306" s="166"/>
      <c r="X306" s="166"/>
      <c r="Y306" s="166"/>
      <c r="Z306" s="170"/>
      <c r="AA306" s="166"/>
      <c r="AB306" s="171"/>
      <c r="AC306" s="166"/>
      <c r="AD306" s="166"/>
      <c r="AE306" s="166"/>
      <c r="AF306" s="166"/>
      <c r="AG306" s="166"/>
      <c r="AH306" s="166"/>
      <c r="AI306" s="166"/>
      <c r="AJ306" s="17"/>
      <c r="AK306" s="17"/>
      <c r="AL306" s="17"/>
      <c r="AM306" s="17"/>
    </row>
    <row r="307" spans="2:39" s="2" customFormat="1">
      <c r="B307" s="2">
        <v>257</v>
      </c>
      <c r="D307" s="37"/>
      <c r="E307" s="17" t="s">
        <v>400</v>
      </c>
      <c r="F307" s="17"/>
      <c r="K307" s="213"/>
      <c r="L307" s="213"/>
      <c r="M307" s="213"/>
      <c r="T307" s="166" t="s">
        <v>376</v>
      </c>
      <c r="U307" s="166"/>
      <c r="V307" s="166" t="s">
        <v>1364</v>
      </c>
      <c r="W307" s="172" t="s">
        <v>1110</v>
      </c>
      <c r="X307" s="172" t="s">
        <v>1111</v>
      </c>
      <c r="Y307" s="172">
        <v>0</v>
      </c>
      <c r="Z307" s="168" t="s">
        <v>22</v>
      </c>
      <c r="AA307" s="166" t="s">
        <v>1361</v>
      </c>
      <c r="AB307" s="169" t="s">
        <v>1362</v>
      </c>
      <c r="AC307" s="166"/>
      <c r="AD307" s="166"/>
      <c r="AE307" s="166"/>
      <c r="AF307" s="166"/>
      <c r="AG307" s="166"/>
      <c r="AH307" s="166"/>
      <c r="AI307" s="166"/>
      <c r="AJ307" s="17"/>
      <c r="AK307" s="17" t="s">
        <v>1832</v>
      </c>
      <c r="AL307" s="17"/>
      <c r="AM307" s="17"/>
    </row>
    <row r="308" spans="2:39" s="2" customFormat="1" ht="29">
      <c r="B308" s="2">
        <v>258</v>
      </c>
      <c r="D308" s="37"/>
      <c r="E308" s="17" t="s">
        <v>406</v>
      </c>
      <c r="F308" s="17" t="s">
        <v>407</v>
      </c>
      <c r="G308" s="2" t="s">
        <v>409</v>
      </c>
      <c r="K308" s="213"/>
      <c r="L308" s="213"/>
      <c r="M308" s="213"/>
      <c r="T308" s="166" t="s">
        <v>376</v>
      </c>
      <c r="U308" s="166"/>
      <c r="V308" s="166" t="s">
        <v>880</v>
      </c>
      <c r="W308" s="167" t="s">
        <v>823</v>
      </c>
      <c r="X308" s="167" t="s">
        <v>664</v>
      </c>
      <c r="Y308" s="167">
        <v>0</v>
      </c>
      <c r="Z308" s="168" t="s">
        <v>22</v>
      </c>
      <c r="AA308" s="167" t="s">
        <v>680</v>
      </c>
      <c r="AB308" s="167" t="s">
        <v>873</v>
      </c>
      <c r="AC308" s="166"/>
      <c r="AD308" s="166"/>
      <c r="AE308" s="166"/>
      <c r="AF308" s="166"/>
      <c r="AG308" s="166"/>
      <c r="AH308" s="166"/>
      <c r="AI308" s="166"/>
      <c r="AJ308" s="17"/>
      <c r="AK308" s="17"/>
      <c r="AL308" s="17"/>
      <c r="AM308" s="17"/>
    </row>
    <row r="309" spans="2:39" s="2" customFormat="1">
      <c r="B309" s="2">
        <v>259</v>
      </c>
      <c r="D309" s="37"/>
      <c r="E309" s="17" t="s">
        <v>408</v>
      </c>
      <c r="F309" s="17"/>
      <c r="K309" s="213"/>
      <c r="L309" s="213"/>
      <c r="M309" s="213"/>
      <c r="T309" s="166"/>
      <c r="U309" s="166"/>
      <c r="V309" s="166"/>
      <c r="W309" s="166"/>
      <c r="X309" s="166"/>
      <c r="Y309" s="166"/>
      <c r="Z309" s="170"/>
      <c r="AA309" s="166"/>
      <c r="AB309" s="171"/>
      <c r="AC309" s="166"/>
      <c r="AD309" s="166"/>
      <c r="AE309" s="166"/>
      <c r="AF309" s="166"/>
      <c r="AG309" s="166"/>
      <c r="AH309" s="166"/>
      <c r="AI309" s="166"/>
      <c r="AJ309" s="17"/>
      <c r="AK309" s="17"/>
      <c r="AL309" s="17"/>
      <c r="AM309" s="17"/>
    </row>
    <row r="310" spans="2:39" s="2" customFormat="1">
      <c r="B310" s="2">
        <v>260</v>
      </c>
      <c r="D310" s="37"/>
      <c r="E310" s="17" t="s">
        <v>410</v>
      </c>
      <c r="F310" s="17"/>
      <c r="K310" s="213"/>
      <c r="L310" s="213"/>
      <c r="M310" s="213"/>
      <c r="T310" s="166"/>
      <c r="U310" s="166"/>
      <c r="V310" s="166"/>
      <c r="W310" s="166"/>
      <c r="X310" s="166"/>
      <c r="Y310" s="166"/>
      <c r="Z310" s="170"/>
      <c r="AA310" s="166"/>
      <c r="AB310" s="171"/>
      <c r="AC310" s="166"/>
      <c r="AD310" s="166"/>
      <c r="AE310" s="166"/>
      <c r="AF310" s="166"/>
      <c r="AG310" s="166"/>
      <c r="AH310" s="166"/>
      <c r="AI310" s="166"/>
      <c r="AJ310" s="17"/>
      <c r="AK310" s="17"/>
      <c r="AL310" s="17"/>
      <c r="AM310" s="17"/>
    </row>
    <row r="311" spans="2:39" s="2" customFormat="1" ht="29">
      <c r="B311" s="2">
        <v>261</v>
      </c>
      <c r="D311" s="37"/>
      <c r="E311" s="17" t="s">
        <v>412</v>
      </c>
      <c r="F311" s="17" t="s">
        <v>411</v>
      </c>
      <c r="K311" s="213"/>
      <c r="L311" s="213"/>
      <c r="M311" s="213"/>
      <c r="T311" s="166" t="s">
        <v>376</v>
      </c>
      <c r="U311" s="166"/>
      <c r="V311" s="166" t="s">
        <v>1639</v>
      </c>
      <c r="W311" s="172" t="s">
        <v>1614</v>
      </c>
      <c r="X311" s="172" t="s">
        <v>692</v>
      </c>
      <c r="Y311" s="172">
        <v>0</v>
      </c>
      <c r="Z311" s="168" t="s">
        <v>22</v>
      </c>
      <c r="AA311" s="167" t="s">
        <v>554</v>
      </c>
      <c r="AB311" s="167" t="s">
        <v>1640</v>
      </c>
      <c r="AC311" s="166"/>
      <c r="AD311" s="166"/>
      <c r="AE311" s="166"/>
      <c r="AF311" s="166"/>
      <c r="AG311" s="166"/>
      <c r="AH311" s="166"/>
      <c r="AI311" s="166"/>
      <c r="AJ311" s="17"/>
      <c r="AK311" s="17"/>
      <c r="AL311" s="17"/>
      <c r="AM311" s="17"/>
    </row>
    <row r="312" spans="2:39" s="2" customFormat="1" ht="72.5">
      <c r="B312" s="2">
        <v>262</v>
      </c>
      <c r="D312" s="37" t="s">
        <v>160</v>
      </c>
      <c r="E312" s="17" t="s">
        <v>133</v>
      </c>
      <c r="I312" s="2" t="s">
        <v>376</v>
      </c>
      <c r="K312" s="213" t="s">
        <v>2563</v>
      </c>
      <c r="L312" s="209" t="s">
        <v>2321</v>
      </c>
      <c r="M312" s="218" t="s">
        <v>2322</v>
      </c>
      <c r="N312" s="213" t="s">
        <v>2323</v>
      </c>
      <c r="O312" s="216" t="s">
        <v>22</v>
      </c>
      <c r="P312" s="215" t="s">
        <v>2564</v>
      </c>
      <c r="Q312" s="219" t="s">
        <v>2565</v>
      </c>
      <c r="R312" s="18" t="s">
        <v>2741</v>
      </c>
      <c r="S312" s="18"/>
      <c r="T312" s="166" t="s">
        <v>376</v>
      </c>
      <c r="U312" s="166"/>
      <c r="V312" s="166" t="s">
        <v>1368</v>
      </c>
      <c r="W312" s="167" t="s">
        <v>649</v>
      </c>
      <c r="X312" s="167" t="s">
        <v>650</v>
      </c>
      <c r="Y312" s="167">
        <v>0</v>
      </c>
      <c r="Z312" s="168" t="s">
        <v>22</v>
      </c>
      <c r="AA312" s="166" t="s">
        <v>705</v>
      </c>
      <c r="AB312" s="169" t="s">
        <v>679</v>
      </c>
      <c r="AC312" s="166" t="s">
        <v>957</v>
      </c>
      <c r="AD312" s="166" t="s">
        <v>1776</v>
      </c>
      <c r="AE312" s="185" t="s">
        <v>1764</v>
      </c>
      <c r="AF312" s="186" t="s">
        <v>688</v>
      </c>
      <c r="AG312" s="166"/>
      <c r="AH312" s="187" t="s">
        <v>22</v>
      </c>
      <c r="AI312" s="166" t="s">
        <v>1777</v>
      </c>
      <c r="AJ312" s="12" t="s">
        <v>1778</v>
      </c>
      <c r="AK312" s="12"/>
      <c r="AL312" s="12"/>
      <c r="AM312" s="12"/>
    </row>
    <row r="313" spans="2:39" s="2" customFormat="1" ht="319">
      <c r="B313" s="2">
        <v>263</v>
      </c>
      <c r="D313" s="37"/>
      <c r="E313" s="17" t="s">
        <v>1782</v>
      </c>
      <c r="F313" s="2" t="s">
        <v>1784</v>
      </c>
      <c r="I313" s="2" t="s">
        <v>376</v>
      </c>
      <c r="K313" s="213" t="s">
        <v>3083</v>
      </c>
      <c r="L313" s="2" t="s">
        <v>2740</v>
      </c>
      <c r="M313" s="2" t="s">
        <v>2739</v>
      </c>
      <c r="N313" s="2" t="s">
        <v>2323</v>
      </c>
      <c r="O313" s="236" t="s">
        <v>22</v>
      </c>
      <c r="P313" s="2" t="s">
        <v>2743</v>
      </c>
      <c r="Q313" s="2" t="s">
        <v>2744</v>
      </c>
      <c r="S313" s="17"/>
      <c r="T313" s="166" t="s">
        <v>376</v>
      </c>
      <c r="U313" s="166"/>
      <c r="V313" s="166" t="s">
        <v>1837</v>
      </c>
      <c r="W313" s="185" t="s">
        <v>1764</v>
      </c>
      <c r="X313" s="186" t="s">
        <v>688</v>
      </c>
      <c r="Y313" s="166"/>
      <c r="Z313" s="168" t="s">
        <v>22</v>
      </c>
      <c r="AA313" s="166" t="s">
        <v>1842</v>
      </c>
      <c r="AB313" s="167" t="s">
        <v>1785</v>
      </c>
      <c r="AC313" s="166"/>
      <c r="AD313" s="166" t="s">
        <v>1783</v>
      </c>
      <c r="AE313" s="185" t="s">
        <v>1764</v>
      </c>
      <c r="AF313" s="186" t="s">
        <v>688</v>
      </c>
      <c r="AG313" s="166"/>
      <c r="AH313" s="187" t="s">
        <v>22</v>
      </c>
      <c r="AI313" s="166" t="s">
        <v>1780</v>
      </c>
      <c r="AJ313" s="12" t="s">
        <v>1781</v>
      </c>
      <c r="AK313" s="12"/>
      <c r="AL313" s="12"/>
      <c r="AM313" s="12"/>
    </row>
    <row r="314" spans="2:39" s="2" customFormat="1" ht="29">
      <c r="D314" s="37"/>
      <c r="E314" s="235" t="s">
        <v>2760</v>
      </c>
      <c r="I314" s="2" t="s">
        <v>376</v>
      </c>
      <c r="K314" s="213" t="s">
        <v>2751</v>
      </c>
      <c r="L314" s="2" t="s">
        <v>2740</v>
      </c>
      <c r="M314" s="2" t="s">
        <v>2739</v>
      </c>
      <c r="N314" s="2" t="s">
        <v>2323</v>
      </c>
      <c r="O314" s="236" t="s">
        <v>22</v>
      </c>
      <c r="P314" s="215" t="s">
        <v>2752</v>
      </c>
      <c r="Q314" s="215" t="s">
        <v>2753</v>
      </c>
      <c r="S314" s="17"/>
      <c r="T314" s="166"/>
      <c r="U314" s="166"/>
      <c r="V314" s="166"/>
      <c r="W314" s="199"/>
      <c r="X314" s="200"/>
      <c r="Y314" s="191"/>
      <c r="Z314" s="168"/>
      <c r="AA314" s="166"/>
      <c r="AB314" s="167"/>
      <c r="AC314" s="166"/>
      <c r="AD314" s="166"/>
      <c r="AE314" s="185"/>
      <c r="AF314" s="186"/>
      <c r="AG314" s="166"/>
      <c r="AH314" s="187"/>
      <c r="AI314" s="166"/>
      <c r="AJ314" s="12"/>
      <c r="AK314" s="12"/>
      <c r="AL314" s="12"/>
      <c r="AM314" s="12"/>
    </row>
    <row r="315" spans="2:39" s="2" customFormat="1" ht="43.5">
      <c r="D315" s="37"/>
      <c r="E315" s="235" t="s">
        <v>2761</v>
      </c>
      <c r="I315" s="2" t="s">
        <v>376</v>
      </c>
      <c r="K315" s="213" t="s">
        <v>2754</v>
      </c>
      <c r="L315" s="2" t="s">
        <v>2740</v>
      </c>
      <c r="M315" s="2" t="s">
        <v>2739</v>
      </c>
      <c r="N315" s="2" t="s">
        <v>2323</v>
      </c>
      <c r="O315" s="236" t="s">
        <v>22</v>
      </c>
      <c r="P315" s="215" t="s">
        <v>1365</v>
      </c>
      <c r="Q315" s="215" t="s">
        <v>2756</v>
      </c>
      <c r="S315" s="17"/>
      <c r="T315" s="166"/>
      <c r="U315" s="166"/>
      <c r="V315" s="166"/>
      <c r="W315" s="199"/>
      <c r="X315" s="200"/>
      <c r="Y315" s="191"/>
      <c r="Z315" s="168"/>
      <c r="AA315" s="166"/>
      <c r="AB315" s="167"/>
      <c r="AC315" s="166"/>
      <c r="AD315" s="166"/>
      <c r="AE315" s="185"/>
      <c r="AF315" s="186"/>
      <c r="AG315" s="166"/>
      <c r="AH315" s="187"/>
      <c r="AI315" s="166"/>
      <c r="AJ315" s="12"/>
      <c r="AK315" s="12"/>
      <c r="AL315" s="12"/>
      <c r="AM315" s="12"/>
    </row>
    <row r="316" spans="2:39" s="2" customFormat="1" ht="359.15" customHeight="1">
      <c r="D316" s="37"/>
      <c r="E316" s="235" t="s">
        <v>2762</v>
      </c>
      <c r="I316" s="2" t="s">
        <v>376</v>
      </c>
      <c r="K316" s="213" t="s">
        <v>3084</v>
      </c>
      <c r="L316" s="2" t="s">
        <v>2740</v>
      </c>
      <c r="M316" s="2" t="s">
        <v>2739</v>
      </c>
      <c r="N316" s="2" t="s">
        <v>2323</v>
      </c>
      <c r="O316" s="236" t="s">
        <v>22</v>
      </c>
      <c r="P316" s="215" t="s">
        <v>2494</v>
      </c>
      <c r="Q316" s="215" t="s">
        <v>2755</v>
      </c>
      <c r="S316" s="17" t="s">
        <v>3085</v>
      </c>
      <c r="T316" s="166"/>
      <c r="U316" s="166"/>
      <c r="V316" s="166"/>
      <c r="W316" s="199"/>
      <c r="X316" s="200"/>
      <c r="Y316" s="191"/>
      <c r="Z316" s="168"/>
      <c r="AA316" s="166"/>
      <c r="AB316" s="167"/>
      <c r="AC316" s="166"/>
      <c r="AD316" s="166"/>
      <c r="AE316" s="185"/>
      <c r="AF316" s="186"/>
      <c r="AG316" s="166"/>
      <c r="AH316" s="187"/>
      <c r="AI316" s="166"/>
      <c r="AJ316" s="12"/>
      <c r="AK316" s="12"/>
      <c r="AL316" s="12"/>
      <c r="AM316" s="12"/>
    </row>
    <row r="317" spans="2:39" s="2" customFormat="1" ht="145">
      <c r="D317" s="37"/>
      <c r="E317" s="235" t="s">
        <v>2764</v>
      </c>
      <c r="I317" s="2" t="s">
        <v>376</v>
      </c>
      <c r="K317" s="213" t="s">
        <v>2765</v>
      </c>
      <c r="L317" s="2" t="s">
        <v>2740</v>
      </c>
      <c r="M317" s="2" t="s">
        <v>2739</v>
      </c>
      <c r="N317" s="2" t="s">
        <v>2323</v>
      </c>
      <c r="O317" s="236" t="s">
        <v>22</v>
      </c>
      <c r="P317" s="215" t="s">
        <v>2766</v>
      </c>
      <c r="Q317" s="215" t="s">
        <v>2759</v>
      </c>
      <c r="S317" s="17"/>
      <c r="T317" s="166"/>
      <c r="U317" s="166"/>
      <c r="V317" s="166"/>
      <c r="W317" s="199"/>
      <c r="X317" s="200"/>
      <c r="Y317" s="191"/>
      <c r="Z317" s="168"/>
      <c r="AA317" s="166"/>
      <c r="AB317" s="167"/>
      <c r="AC317" s="166"/>
      <c r="AD317" s="166"/>
      <c r="AE317" s="185"/>
      <c r="AF317" s="186"/>
      <c r="AG317" s="166"/>
      <c r="AH317" s="187"/>
      <c r="AI317" s="166"/>
      <c r="AJ317" s="12"/>
      <c r="AK317" s="12"/>
      <c r="AL317" s="12"/>
      <c r="AM317" s="12"/>
    </row>
    <row r="318" spans="2:39" s="2" customFormat="1" ht="246.5">
      <c r="D318" s="37"/>
      <c r="E318" s="17" t="s">
        <v>2763</v>
      </c>
      <c r="I318" s="2" t="s">
        <v>376</v>
      </c>
      <c r="K318" s="213" t="s">
        <v>2757</v>
      </c>
      <c r="L318" s="2" t="s">
        <v>2740</v>
      </c>
      <c r="M318" s="2" t="s">
        <v>2739</v>
      </c>
      <c r="N318" s="2" t="s">
        <v>2323</v>
      </c>
      <c r="O318" s="236" t="s">
        <v>22</v>
      </c>
      <c r="P318" s="213" t="s">
        <v>2497</v>
      </c>
      <c r="Q318" s="215" t="s">
        <v>2781</v>
      </c>
      <c r="S318" s="17"/>
      <c r="T318" s="166"/>
      <c r="U318" s="166"/>
      <c r="V318" s="166"/>
      <c r="W318" s="199"/>
      <c r="X318" s="200"/>
      <c r="Y318" s="191"/>
      <c r="Z318" s="168"/>
      <c r="AA318" s="166"/>
      <c r="AB318" s="167"/>
      <c r="AC318" s="166"/>
      <c r="AD318" s="166"/>
      <c r="AE318" s="185"/>
      <c r="AF318" s="186"/>
      <c r="AG318" s="166"/>
      <c r="AH318" s="187"/>
      <c r="AI318" s="166"/>
      <c r="AJ318" s="12"/>
      <c r="AK318" s="12"/>
      <c r="AL318" s="12"/>
      <c r="AM318" s="12"/>
    </row>
    <row r="319" spans="2:39" s="2" customFormat="1" ht="199.5" customHeight="1">
      <c r="D319" s="37"/>
      <c r="E319" s="235" t="s">
        <v>2769</v>
      </c>
      <c r="F319" s="2" t="s">
        <v>2770</v>
      </c>
      <c r="I319" s="2" t="s">
        <v>376</v>
      </c>
      <c r="K319" s="213" t="s">
        <v>2773</v>
      </c>
      <c r="L319" s="2" t="s">
        <v>2740</v>
      </c>
      <c r="M319" s="2" t="s">
        <v>2739</v>
      </c>
      <c r="N319" s="2" t="s">
        <v>2323</v>
      </c>
      <c r="O319" s="236" t="s">
        <v>22</v>
      </c>
      <c r="P319" s="215" t="s">
        <v>938</v>
      </c>
      <c r="Q319" s="215" t="s">
        <v>2774</v>
      </c>
      <c r="S319" s="17"/>
      <c r="T319" s="166"/>
      <c r="U319" s="166"/>
      <c r="V319" s="166"/>
      <c r="W319" s="199"/>
      <c r="X319" s="200"/>
      <c r="Y319" s="191"/>
      <c r="Z319" s="168"/>
      <c r="AA319" s="166"/>
      <c r="AB319" s="167"/>
      <c r="AC319" s="166"/>
      <c r="AD319" s="166"/>
      <c r="AE319" s="185"/>
      <c r="AF319" s="186"/>
      <c r="AG319" s="166"/>
      <c r="AH319" s="187"/>
      <c r="AI319" s="166"/>
      <c r="AJ319" s="12"/>
      <c r="AK319" s="12"/>
      <c r="AL319" s="12"/>
      <c r="AM319" s="12"/>
    </row>
    <row r="320" spans="2:39" s="2" customFormat="1" ht="29">
      <c r="D320" s="37"/>
      <c r="E320" s="17"/>
      <c r="F320" s="2" t="s">
        <v>2771</v>
      </c>
      <c r="I320" s="2" t="s">
        <v>376</v>
      </c>
      <c r="K320" s="213" t="s">
        <v>2777</v>
      </c>
      <c r="L320" s="2" t="s">
        <v>2740</v>
      </c>
      <c r="M320" s="2" t="s">
        <v>2739</v>
      </c>
      <c r="N320" s="2" t="s">
        <v>2323</v>
      </c>
      <c r="O320" s="236" t="s">
        <v>22</v>
      </c>
      <c r="P320" s="215" t="s">
        <v>942</v>
      </c>
      <c r="Q320" s="215" t="s">
        <v>2775</v>
      </c>
      <c r="T320" s="166"/>
      <c r="U320" s="166"/>
      <c r="V320" s="166"/>
      <c r="W320" s="199"/>
      <c r="X320" s="200"/>
      <c r="Y320" s="191"/>
      <c r="Z320" s="168"/>
      <c r="AA320" s="166"/>
      <c r="AB320" s="167"/>
      <c r="AC320" s="166"/>
      <c r="AD320" s="166"/>
      <c r="AE320" s="185"/>
      <c r="AF320" s="186"/>
      <c r="AG320" s="166"/>
      <c r="AH320" s="187"/>
      <c r="AI320" s="166"/>
      <c r="AJ320" s="12"/>
      <c r="AK320" s="12"/>
      <c r="AL320" s="12"/>
      <c r="AM320" s="12"/>
    </row>
    <row r="321" spans="2:39" s="2" customFormat="1" ht="29">
      <c r="D321" s="37"/>
      <c r="E321" s="17"/>
      <c r="F321" s="2" t="s">
        <v>2772</v>
      </c>
      <c r="I321" s="2" t="s">
        <v>376</v>
      </c>
      <c r="K321" s="213" t="s">
        <v>2777</v>
      </c>
      <c r="L321" s="2" t="s">
        <v>2740</v>
      </c>
      <c r="M321" s="2" t="s">
        <v>2739</v>
      </c>
      <c r="N321" s="2" t="s">
        <v>2323</v>
      </c>
      <c r="O321" s="236" t="s">
        <v>22</v>
      </c>
      <c r="P321" s="215" t="s">
        <v>2776</v>
      </c>
      <c r="Q321" s="215" t="s">
        <v>2775</v>
      </c>
      <c r="T321" s="166"/>
      <c r="U321" s="166"/>
      <c r="V321" s="166"/>
      <c r="W321" s="199"/>
      <c r="X321" s="200"/>
      <c r="Y321" s="191"/>
      <c r="Z321" s="168"/>
      <c r="AA321" s="166"/>
      <c r="AB321" s="167"/>
      <c r="AC321" s="166"/>
      <c r="AD321" s="166"/>
      <c r="AE321" s="185"/>
      <c r="AF321" s="186"/>
      <c r="AG321" s="166"/>
      <c r="AH321" s="187"/>
      <c r="AI321" s="166"/>
      <c r="AJ321" s="12"/>
      <c r="AK321" s="12"/>
      <c r="AL321" s="12"/>
      <c r="AM321" s="12"/>
    </row>
    <row r="322" spans="2:39" s="2" customFormat="1" ht="119.5" customHeight="1">
      <c r="B322" s="2">
        <v>264</v>
      </c>
      <c r="D322" s="37"/>
      <c r="E322" s="2" t="s">
        <v>417</v>
      </c>
      <c r="F322" s="2" t="s">
        <v>416</v>
      </c>
      <c r="G322" s="2" t="s">
        <v>162</v>
      </c>
      <c r="L322" s="213"/>
      <c r="M322" s="213"/>
      <c r="T322" s="166" t="s">
        <v>376</v>
      </c>
      <c r="U322" s="166"/>
      <c r="V322" s="166" t="s">
        <v>1370</v>
      </c>
      <c r="W322" s="172" t="s">
        <v>1110</v>
      </c>
      <c r="X322" s="172" t="s">
        <v>1111</v>
      </c>
      <c r="Y322" s="172">
        <v>0</v>
      </c>
      <c r="Z322" s="168" t="s">
        <v>22</v>
      </c>
      <c r="AA322" s="166" t="s">
        <v>1371</v>
      </c>
      <c r="AB322" s="169" t="s">
        <v>1372</v>
      </c>
      <c r="AC322" s="166"/>
      <c r="AD322" s="166" t="s">
        <v>1841</v>
      </c>
      <c r="AE322" s="185" t="s">
        <v>1764</v>
      </c>
      <c r="AF322" s="186" t="s">
        <v>688</v>
      </c>
      <c r="AG322" s="166"/>
      <c r="AH322" s="187" t="s">
        <v>22</v>
      </c>
      <c r="AI322" s="166" t="s">
        <v>1840</v>
      </c>
      <c r="AJ322" s="12" t="s">
        <v>1787</v>
      </c>
      <c r="AK322" s="12"/>
      <c r="AL322" s="12"/>
      <c r="AM322" s="12"/>
    </row>
    <row r="323" spans="2:39" s="2" customFormat="1" ht="319">
      <c r="B323" s="2">
        <v>265</v>
      </c>
      <c r="D323" s="37"/>
      <c r="E323" s="2" t="s">
        <v>418</v>
      </c>
      <c r="F323" s="2" t="s">
        <v>1774</v>
      </c>
      <c r="K323" s="213"/>
      <c r="L323" s="213"/>
      <c r="M323" s="213"/>
      <c r="T323" s="166" t="s">
        <v>376</v>
      </c>
      <c r="U323" s="166"/>
      <c r="V323" s="166" t="s">
        <v>1853</v>
      </c>
      <c r="W323" s="185" t="s">
        <v>1764</v>
      </c>
      <c r="X323" s="186" t="s">
        <v>688</v>
      </c>
      <c r="Y323" s="166"/>
      <c r="Z323" s="168" t="s">
        <v>22</v>
      </c>
      <c r="AA323" s="166" t="s">
        <v>1854</v>
      </c>
      <c r="AB323" s="167" t="s">
        <v>1765</v>
      </c>
      <c r="AC323" s="166"/>
      <c r="AD323" s="166" t="s">
        <v>1846</v>
      </c>
      <c r="AE323" s="185" t="s">
        <v>1764</v>
      </c>
      <c r="AF323" s="186" t="s">
        <v>688</v>
      </c>
      <c r="AG323" s="166"/>
      <c r="AH323" s="187" t="s">
        <v>22</v>
      </c>
      <c r="AI323" s="166" t="s">
        <v>680</v>
      </c>
      <c r="AJ323" s="12" t="s">
        <v>1845</v>
      </c>
      <c r="AK323" s="12"/>
      <c r="AL323" s="12"/>
      <c r="AM323" s="12"/>
    </row>
    <row r="324" spans="2:39" s="2" customFormat="1" ht="145">
      <c r="B324" s="2">
        <v>266</v>
      </c>
      <c r="D324" s="37"/>
      <c r="E324" s="2" t="s">
        <v>1847</v>
      </c>
      <c r="K324" s="213"/>
      <c r="L324" s="213"/>
      <c r="M324" s="213"/>
      <c r="T324" s="166" t="s">
        <v>376</v>
      </c>
      <c r="U324" s="166"/>
      <c r="V324" s="166" t="s">
        <v>1848</v>
      </c>
      <c r="W324" s="185" t="s">
        <v>1764</v>
      </c>
      <c r="X324" s="186" t="s">
        <v>688</v>
      </c>
      <c r="Y324" s="166"/>
      <c r="Z324" s="168" t="s">
        <v>22</v>
      </c>
      <c r="AA324" s="166" t="s">
        <v>1849</v>
      </c>
      <c r="AB324" s="167" t="s">
        <v>1850</v>
      </c>
      <c r="AC324" s="166"/>
      <c r="AD324" s="166"/>
      <c r="AE324" s="199"/>
      <c r="AF324" s="200"/>
      <c r="AG324" s="166"/>
      <c r="AH324" s="194"/>
      <c r="AI324" s="166"/>
      <c r="AJ324" s="12"/>
      <c r="AK324" s="12"/>
      <c r="AL324" s="12"/>
      <c r="AM324" s="12"/>
    </row>
    <row r="325" spans="2:39" s="2" customFormat="1" ht="58">
      <c r="B325" s="2">
        <v>267</v>
      </c>
      <c r="D325" s="37"/>
      <c r="K325" s="213"/>
      <c r="L325" s="213"/>
      <c r="M325" s="213"/>
      <c r="T325" s="166" t="s">
        <v>376</v>
      </c>
      <c r="U325" s="166"/>
      <c r="V325" s="166" t="s">
        <v>1838</v>
      </c>
      <c r="W325" s="185" t="s">
        <v>1764</v>
      </c>
      <c r="X325" s="186" t="s">
        <v>688</v>
      </c>
      <c r="Y325" s="166"/>
      <c r="Z325" s="168" t="s">
        <v>22</v>
      </c>
      <c r="AA325" s="166" t="s">
        <v>1775</v>
      </c>
      <c r="AB325" s="167" t="s">
        <v>1765</v>
      </c>
      <c r="AC325" s="166"/>
      <c r="AD325" s="166"/>
      <c r="AE325" s="166"/>
      <c r="AF325" s="166"/>
      <c r="AG325" s="166"/>
      <c r="AH325" s="166"/>
      <c r="AI325" s="166"/>
      <c r="AJ325" s="17"/>
      <c r="AK325" s="17"/>
      <c r="AL325" s="17"/>
      <c r="AM325" s="17"/>
    </row>
    <row r="326" spans="2:39" s="2" customFormat="1" ht="160.5" customHeight="1">
      <c r="B326" s="2">
        <v>268</v>
      </c>
      <c r="D326" s="37"/>
      <c r="E326" s="2" t="s">
        <v>1792</v>
      </c>
      <c r="I326" s="2" t="s">
        <v>376</v>
      </c>
      <c r="K326" s="213" t="s">
        <v>3086</v>
      </c>
      <c r="L326" s="2" t="s">
        <v>2740</v>
      </c>
      <c r="M326" s="2" t="s">
        <v>2739</v>
      </c>
      <c r="N326" s="2" t="s">
        <v>2323</v>
      </c>
      <c r="O326" s="236" t="s">
        <v>22</v>
      </c>
      <c r="P326" s="213" t="s">
        <v>2745</v>
      </c>
      <c r="Q326" s="215" t="s">
        <v>2746</v>
      </c>
      <c r="S326" s="17"/>
      <c r="T326" s="166" t="s">
        <v>376</v>
      </c>
      <c r="U326" s="166"/>
      <c r="V326" s="166" t="s">
        <v>1791</v>
      </c>
      <c r="W326" s="185" t="s">
        <v>1764</v>
      </c>
      <c r="X326" s="186" t="s">
        <v>688</v>
      </c>
      <c r="Y326" s="166"/>
      <c r="Z326" s="168" t="s">
        <v>22</v>
      </c>
      <c r="AA326" s="166" t="s">
        <v>1793</v>
      </c>
      <c r="AB326" s="167" t="s">
        <v>1787</v>
      </c>
      <c r="AC326" s="166"/>
      <c r="AD326" s="166"/>
      <c r="AE326" s="166"/>
      <c r="AF326" s="166"/>
      <c r="AG326" s="166"/>
      <c r="AH326" s="166"/>
      <c r="AI326" s="166"/>
      <c r="AJ326" s="17"/>
      <c r="AK326" s="17"/>
      <c r="AL326" s="17"/>
      <c r="AM326" s="17"/>
    </row>
    <row r="327" spans="2:39" s="2" customFormat="1" ht="304.5">
      <c r="B327" s="2">
        <v>269</v>
      </c>
      <c r="D327" s="37"/>
      <c r="E327" s="2" t="s">
        <v>1855</v>
      </c>
      <c r="I327" s="2" t="s">
        <v>376</v>
      </c>
      <c r="K327" s="213" t="s">
        <v>3122</v>
      </c>
      <c r="L327" s="2" t="s">
        <v>2740</v>
      </c>
      <c r="M327" s="2" t="s">
        <v>2739</v>
      </c>
      <c r="N327" s="2" t="s">
        <v>2323</v>
      </c>
      <c r="O327" s="236" t="s">
        <v>22</v>
      </c>
      <c r="P327" s="213" t="s">
        <v>1371</v>
      </c>
      <c r="Q327" s="215" t="s">
        <v>2780</v>
      </c>
      <c r="S327" s="17"/>
      <c r="T327" s="166" t="s">
        <v>376</v>
      </c>
      <c r="U327" s="166"/>
      <c r="V327" s="166" t="s">
        <v>1856</v>
      </c>
      <c r="W327" s="185" t="s">
        <v>1764</v>
      </c>
      <c r="X327" s="186" t="s">
        <v>688</v>
      </c>
      <c r="Y327" s="166"/>
      <c r="Z327" s="168" t="s">
        <v>22</v>
      </c>
      <c r="AA327" s="166" t="s">
        <v>1857</v>
      </c>
      <c r="AB327" s="167" t="s">
        <v>1858</v>
      </c>
      <c r="AC327" s="166"/>
      <c r="AD327" s="166"/>
      <c r="AE327" s="166"/>
      <c r="AF327" s="166"/>
      <c r="AG327" s="166"/>
      <c r="AH327" s="166"/>
      <c r="AI327" s="166"/>
      <c r="AJ327" s="17"/>
      <c r="AK327" s="17"/>
      <c r="AL327" s="17"/>
      <c r="AM327" s="17"/>
    </row>
    <row r="328" spans="2:39" s="2" customFormat="1">
      <c r="B328" s="2">
        <v>270</v>
      </c>
      <c r="D328" s="37"/>
      <c r="K328" s="213"/>
      <c r="L328" s="213"/>
      <c r="M328" s="213"/>
      <c r="T328" s="166" t="s">
        <v>376</v>
      </c>
      <c r="U328" s="166"/>
      <c r="V328" s="166" t="s">
        <v>1859</v>
      </c>
      <c r="W328" s="185" t="s">
        <v>1764</v>
      </c>
      <c r="X328" s="186" t="s">
        <v>688</v>
      </c>
      <c r="Y328" s="166"/>
      <c r="Z328" s="168" t="s">
        <v>22</v>
      </c>
      <c r="AA328" s="166" t="s">
        <v>708</v>
      </c>
      <c r="AB328" s="167" t="s">
        <v>1858</v>
      </c>
      <c r="AC328" s="166"/>
      <c r="AD328" s="166"/>
      <c r="AE328" s="166"/>
      <c r="AF328" s="166"/>
      <c r="AG328" s="166"/>
      <c r="AH328" s="166"/>
      <c r="AI328" s="166"/>
      <c r="AJ328" s="17"/>
      <c r="AK328" s="17"/>
      <c r="AL328" s="17"/>
      <c r="AM328" s="17"/>
    </row>
    <row r="329" spans="2:39" s="2" customFormat="1" ht="43.5">
      <c r="B329" s="2">
        <v>271</v>
      </c>
      <c r="D329" s="37"/>
      <c r="E329" s="2" t="s">
        <v>1373</v>
      </c>
      <c r="K329" s="213"/>
      <c r="L329" s="213"/>
      <c r="M329" s="213"/>
      <c r="T329" s="166" t="s">
        <v>376</v>
      </c>
      <c r="U329" s="166"/>
      <c r="V329" s="166" t="s">
        <v>1374</v>
      </c>
      <c r="W329" s="172" t="s">
        <v>1110</v>
      </c>
      <c r="X329" s="172" t="s">
        <v>1111</v>
      </c>
      <c r="Y329" s="172">
        <v>0</v>
      </c>
      <c r="Z329" s="168" t="s">
        <v>22</v>
      </c>
      <c r="AA329" s="166" t="s">
        <v>1371</v>
      </c>
      <c r="AB329" s="169" t="s">
        <v>1372</v>
      </c>
      <c r="AC329" s="166"/>
      <c r="AD329" s="166"/>
      <c r="AE329" s="166"/>
      <c r="AF329" s="166"/>
      <c r="AG329" s="166"/>
      <c r="AH329" s="166"/>
      <c r="AI329" s="166"/>
      <c r="AJ329" s="17"/>
      <c r="AK329" s="17"/>
      <c r="AL329" s="17"/>
      <c r="AM329" s="17"/>
    </row>
    <row r="330" spans="2:39" s="2" customFormat="1" ht="145">
      <c r="B330" s="2">
        <v>272</v>
      </c>
      <c r="C330" s="2" t="s">
        <v>18</v>
      </c>
      <c r="D330" s="37"/>
      <c r="E330" s="2" t="s">
        <v>1149</v>
      </c>
      <c r="I330" s="2" t="s">
        <v>376</v>
      </c>
      <c r="K330" s="213" t="s">
        <v>2758</v>
      </c>
      <c r="L330" s="2" t="s">
        <v>2740</v>
      </c>
      <c r="M330" s="2" t="s">
        <v>2739</v>
      </c>
      <c r="N330" s="2" t="s">
        <v>2323</v>
      </c>
      <c r="O330" s="236" t="s">
        <v>22</v>
      </c>
      <c r="P330" s="215" t="s">
        <v>1379</v>
      </c>
      <c r="Q330" s="215" t="s">
        <v>2759</v>
      </c>
      <c r="S330" s="17"/>
      <c r="T330" s="166" t="s">
        <v>376</v>
      </c>
      <c r="U330" s="166"/>
      <c r="V330" s="166" t="s">
        <v>1375</v>
      </c>
      <c r="W330" s="172" t="s">
        <v>1110</v>
      </c>
      <c r="X330" s="172" t="s">
        <v>1111</v>
      </c>
      <c r="Y330" s="172">
        <v>0</v>
      </c>
      <c r="Z330" s="168" t="s">
        <v>22</v>
      </c>
      <c r="AA330" s="166" t="s">
        <v>1376</v>
      </c>
      <c r="AB330" s="169" t="s">
        <v>1377</v>
      </c>
      <c r="AC330" s="166"/>
      <c r="AD330" s="166" t="s">
        <v>1789</v>
      </c>
      <c r="AE330" s="185" t="s">
        <v>1764</v>
      </c>
      <c r="AF330" s="186" t="s">
        <v>688</v>
      </c>
      <c r="AG330" s="166"/>
      <c r="AH330" s="187" t="s">
        <v>22</v>
      </c>
      <c r="AI330" s="166" t="s">
        <v>1790</v>
      </c>
      <c r="AJ330" s="12" t="s">
        <v>1787</v>
      </c>
      <c r="AK330" s="12"/>
      <c r="AL330" s="12"/>
      <c r="AM330" s="12"/>
    </row>
    <row r="331" spans="2:39" s="2" customFormat="1">
      <c r="B331" s="2">
        <v>273</v>
      </c>
      <c r="D331" s="37"/>
      <c r="E331" s="2" t="s">
        <v>163</v>
      </c>
      <c r="K331" s="213"/>
      <c r="L331" s="213"/>
      <c r="M331" s="213"/>
      <c r="T331" s="166"/>
      <c r="U331" s="166"/>
      <c r="V331" s="166"/>
      <c r="W331" s="166"/>
      <c r="X331" s="166"/>
      <c r="Y331" s="166"/>
      <c r="Z331" s="166"/>
      <c r="AA331" s="166"/>
      <c r="AB331" s="166"/>
      <c r="AC331" s="166"/>
      <c r="AD331" s="166"/>
      <c r="AE331" s="166"/>
      <c r="AF331" s="166"/>
      <c r="AG331" s="166"/>
      <c r="AH331" s="166"/>
      <c r="AI331" s="166"/>
      <c r="AJ331" s="17"/>
      <c r="AK331" s="17"/>
      <c r="AL331" s="17"/>
      <c r="AM331" s="17"/>
    </row>
    <row r="332" spans="2:39" s="2" customFormat="1" ht="71.5" customHeight="1">
      <c r="B332" s="2">
        <v>274</v>
      </c>
      <c r="D332" s="37"/>
      <c r="E332" s="2" t="s">
        <v>164</v>
      </c>
      <c r="K332" s="213"/>
      <c r="L332" s="213"/>
      <c r="M332" s="213"/>
      <c r="T332" s="166" t="s">
        <v>376</v>
      </c>
      <c r="U332" s="166"/>
      <c r="V332" s="166" t="s">
        <v>1369</v>
      </c>
      <c r="W332" s="172" t="s">
        <v>1110</v>
      </c>
      <c r="X332" s="172" t="s">
        <v>1111</v>
      </c>
      <c r="Y332" s="172">
        <v>0</v>
      </c>
      <c r="Z332" s="168" t="s">
        <v>22</v>
      </c>
      <c r="AA332" s="166" t="s">
        <v>1371</v>
      </c>
      <c r="AB332" s="169" t="s">
        <v>1372</v>
      </c>
      <c r="AC332" s="166"/>
      <c r="AD332" s="166" t="s">
        <v>1788</v>
      </c>
      <c r="AE332" s="185" t="s">
        <v>1764</v>
      </c>
      <c r="AF332" s="186" t="s">
        <v>688</v>
      </c>
      <c r="AG332" s="166"/>
      <c r="AH332" s="187" t="s">
        <v>22</v>
      </c>
      <c r="AI332" s="166" t="s">
        <v>1786</v>
      </c>
      <c r="AJ332" s="12" t="s">
        <v>1787</v>
      </c>
      <c r="AK332" s="12"/>
      <c r="AL332" s="12"/>
      <c r="AM332" s="12"/>
    </row>
    <row r="333" spans="2:39" s="2" customFormat="1" ht="34" customHeight="1">
      <c r="B333" s="2">
        <v>275</v>
      </c>
      <c r="D333" s="37"/>
      <c r="K333" s="213"/>
      <c r="L333" s="213"/>
      <c r="M333" s="213"/>
      <c r="T333" s="166" t="s">
        <v>376</v>
      </c>
      <c r="U333" s="166"/>
      <c r="V333" s="166" t="s">
        <v>1378</v>
      </c>
      <c r="W333" s="172" t="s">
        <v>1110</v>
      </c>
      <c r="X333" s="172" t="s">
        <v>1111</v>
      </c>
      <c r="Y333" s="172">
        <v>0</v>
      </c>
      <c r="Z333" s="168" t="s">
        <v>22</v>
      </c>
      <c r="AA333" s="166" t="s">
        <v>1379</v>
      </c>
      <c r="AB333" s="169" t="s">
        <v>1380</v>
      </c>
      <c r="AC333" s="166"/>
      <c r="AD333" s="166"/>
      <c r="AE333" s="166"/>
      <c r="AF333" s="166"/>
      <c r="AG333" s="166"/>
      <c r="AH333" s="166"/>
      <c r="AI333" s="166"/>
      <c r="AJ333" s="17"/>
      <c r="AK333" s="17"/>
      <c r="AL333" s="17"/>
      <c r="AM333" s="17"/>
    </row>
    <row r="334" spans="2:39" s="2" customFormat="1">
      <c r="B334" s="2">
        <v>276</v>
      </c>
      <c r="D334" s="37"/>
      <c r="E334" s="2" t="s">
        <v>161</v>
      </c>
      <c r="F334" s="2" t="s">
        <v>932</v>
      </c>
      <c r="K334" s="213"/>
      <c r="L334" s="213"/>
      <c r="M334" s="213"/>
      <c r="T334" s="166"/>
      <c r="U334" s="166"/>
      <c r="V334" s="166"/>
      <c r="W334" s="173"/>
      <c r="X334" s="201"/>
      <c r="Y334" s="166"/>
      <c r="Z334" s="202"/>
      <c r="AA334" s="166"/>
      <c r="AB334" s="166"/>
      <c r="AC334" s="166"/>
      <c r="AD334" s="166"/>
      <c r="AE334" s="166"/>
      <c r="AF334" s="166"/>
      <c r="AG334" s="166"/>
      <c r="AH334" s="166"/>
      <c r="AI334" s="166"/>
      <c r="AJ334" s="17"/>
      <c r="AK334" s="17"/>
      <c r="AL334" s="17"/>
      <c r="AM334" s="17"/>
    </row>
    <row r="335" spans="2:39" s="2" customFormat="1" ht="72.5">
      <c r="B335" s="2">
        <v>277</v>
      </c>
      <c r="D335" s="37"/>
      <c r="E335" s="17" t="s">
        <v>165</v>
      </c>
      <c r="K335" s="213"/>
      <c r="L335" s="213"/>
      <c r="M335" s="213"/>
      <c r="T335" s="166" t="s">
        <v>376</v>
      </c>
      <c r="U335" s="166"/>
      <c r="V335" s="166" t="s">
        <v>1839</v>
      </c>
      <c r="W335" s="167" t="s">
        <v>823</v>
      </c>
      <c r="X335" s="167" t="s">
        <v>664</v>
      </c>
      <c r="Y335" s="167">
        <v>0</v>
      </c>
      <c r="Z335" s="168" t="s">
        <v>22</v>
      </c>
      <c r="AA335" s="167" t="s">
        <v>554</v>
      </c>
      <c r="AB335" s="167" t="s">
        <v>929</v>
      </c>
      <c r="AC335" s="166"/>
      <c r="AD335" s="166"/>
      <c r="AE335" s="166"/>
      <c r="AF335" s="166"/>
      <c r="AG335" s="166"/>
      <c r="AH335" s="166"/>
      <c r="AI335" s="166"/>
      <c r="AJ335" s="17"/>
      <c r="AK335" s="17"/>
      <c r="AL335" s="17"/>
      <c r="AM335" s="17"/>
    </row>
    <row r="336" spans="2:39" s="2" customFormat="1" ht="319">
      <c r="B336" s="2">
        <v>278</v>
      </c>
      <c r="D336" s="37"/>
      <c r="E336" s="17" t="s">
        <v>2316</v>
      </c>
      <c r="K336" s="213"/>
      <c r="L336" s="213"/>
      <c r="M336" s="213"/>
      <c r="T336" s="166" t="s">
        <v>376</v>
      </c>
      <c r="U336" s="166"/>
      <c r="V336" s="166" t="s">
        <v>1920</v>
      </c>
      <c r="W336" s="185" t="s">
        <v>1764</v>
      </c>
      <c r="X336" s="186" t="s">
        <v>688</v>
      </c>
      <c r="Y336" s="166"/>
      <c r="Z336" s="168" t="s">
        <v>22</v>
      </c>
      <c r="AA336" s="166" t="s">
        <v>714</v>
      </c>
      <c r="AB336" s="167" t="s">
        <v>1914</v>
      </c>
      <c r="AC336" s="166"/>
      <c r="AD336" s="166"/>
      <c r="AE336" s="166"/>
      <c r="AF336" s="166"/>
      <c r="AG336" s="166"/>
      <c r="AH336" s="166"/>
      <c r="AI336" s="166"/>
      <c r="AJ336" s="17"/>
      <c r="AK336" s="17"/>
      <c r="AL336" s="17"/>
      <c r="AM336" s="17"/>
    </row>
    <row r="337" spans="2:39" s="2" customFormat="1" ht="246.5">
      <c r="B337" s="2">
        <v>279</v>
      </c>
      <c r="D337" s="37"/>
      <c r="E337" s="17" t="s">
        <v>210</v>
      </c>
      <c r="K337" s="213"/>
      <c r="L337" s="213"/>
      <c r="M337" s="213"/>
      <c r="T337" s="166" t="s">
        <v>376</v>
      </c>
      <c r="U337" s="166"/>
      <c r="V337" s="166" t="s">
        <v>1912</v>
      </c>
      <c r="W337" s="185" t="s">
        <v>1764</v>
      </c>
      <c r="X337" s="186" t="s">
        <v>688</v>
      </c>
      <c r="Y337" s="166"/>
      <c r="Z337" s="168" t="s">
        <v>22</v>
      </c>
      <c r="AA337" s="166" t="s">
        <v>1913</v>
      </c>
      <c r="AB337" s="167" t="s">
        <v>1852</v>
      </c>
      <c r="AC337" s="166"/>
      <c r="AD337" s="166"/>
      <c r="AE337" s="166"/>
      <c r="AF337" s="166"/>
      <c r="AG337" s="166"/>
      <c r="AH337" s="166"/>
      <c r="AI337" s="166"/>
      <c r="AJ337" s="17"/>
      <c r="AK337" s="17"/>
      <c r="AL337" s="17"/>
      <c r="AM337" s="17"/>
    </row>
    <row r="338" spans="2:39" s="2" customFormat="1" ht="120.75" customHeight="1">
      <c r="B338" s="2">
        <v>280</v>
      </c>
      <c r="D338" s="37"/>
      <c r="E338" s="17" t="s">
        <v>310</v>
      </c>
      <c r="I338" s="2" t="s">
        <v>376</v>
      </c>
      <c r="K338" s="213" t="s">
        <v>2516</v>
      </c>
      <c r="L338" s="209" t="s">
        <v>2321</v>
      </c>
      <c r="M338" s="218" t="s">
        <v>2322</v>
      </c>
      <c r="N338" s="213" t="s">
        <v>2323</v>
      </c>
      <c r="O338" s="216" t="s">
        <v>22</v>
      </c>
      <c r="P338" s="215" t="s">
        <v>2517</v>
      </c>
      <c r="Q338" s="219" t="s">
        <v>2518</v>
      </c>
      <c r="T338" s="166" t="s">
        <v>376</v>
      </c>
      <c r="U338" s="166"/>
      <c r="V338" s="166" t="s">
        <v>738</v>
      </c>
      <c r="W338" s="167" t="s">
        <v>649</v>
      </c>
      <c r="X338" s="167" t="s">
        <v>650</v>
      </c>
      <c r="Y338" s="167">
        <v>0</v>
      </c>
      <c r="Z338" s="168" t="s">
        <v>22</v>
      </c>
      <c r="AA338" s="166" t="s">
        <v>539</v>
      </c>
      <c r="AB338" s="169" t="s">
        <v>732</v>
      </c>
      <c r="AC338" s="166" t="s">
        <v>1851</v>
      </c>
      <c r="AD338" s="166"/>
      <c r="AE338" s="166" t="s">
        <v>1611</v>
      </c>
      <c r="AF338" s="166" t="s">
        <v>739</v>
      </c>
      <c r="AG338" s="166"/>
      <c r="AH338" s="166"/>
      <c r="AI338" s="166"/>
      <c r="AJ338" s="17"/>
      <c r="AK338" s="17"/>
      <c r="AL338" s="17"/>
      <c r="AM338" s="17"/>
    </row>
    <row r="339" spans="2:39" s="2" customFormat="1" ht="26.25" customHeight="1">
      <c r="B339" s="2">
        <v>281</v>
      </c>
      <c r="D339" s="37"/>
      <c r="E339" s="17" t="s">
        <v>956</v>
      </c>
      <c r="K339" s="213"/>
      <c r="L339" s="213"/>
      <c r="M339" s="213"/>
      <c r="T339" s="166" t="s">
        <v>376</v>
      </c>
      <c r="U339" s="166"/>
      <c r="V339" s="166" t="s">
        <v>931</v>
      </c>
      <c r="W339" s="167" t="s">
        <v>823</v>
      </c>
      <c r="X339" s="167" t="s">
        <v>664</v>
      </c>
      <c r="Y339" s="167">
        <v>0</v>
      </c>
      <c r="Z339" s="168" t="s">
        <v>22</v>
      </c>
      <c r="AA339" s="167" t="s">
        <v>554</v>
      </c>
      <c r="AB339" s="167" t="s">
        <v>929</v>
      </c>
      <c r="AC339" s="166" t="s">
        <v>930</v>
      </c>
      <c r="AD339" s="166"/>
      <c r="AE339" s="166"/>
      <c r="AF339" s="166"/>
      <c r="AG339" s="166"/>
      <c r="AH339" s="166"/>
      <c r="AI339" s="166"/>
      <c r="AJ339" s="17"/>
      <c r="AK339" s="17"/>
      <c r="AL339" s="17"/>
      <c r="AM339" s="17"/>
    </row>
    <row r="340" spans="2:39" s="2" customFormat="1" ht="29">
      <c r="B340" s="2">
        <v>282</v>
      </c>
      <c r="D340" s="37"/>
      <c r="E340" s="234" t="s">
        <v>2767</v>
      </c>
      <c r="F340" s="2" t="s">
        <v>2778</v>
      </c>
      <c r="I340" s="2" t="s">
        <v>376</v>
      </c>
      <c r="K340" s="213" t="s">
        <v>2768</v>
      </c>
      <c r="L340" s="2" t="s">
        <v>2740</v>
      </c>
      <c r="M340" s="2" t="s">
        <v>2739</v>
      </c>
      <c r="N340" s="2" t="s">
        <v>2323</v>
      </c>
      <c r="O340" s="236" t="s">
        <v>22</v>
      </c>
      <c r="P340" s="213" t="s">
        <v>559</v>
      </c>
      <c r="Q340" s="215" t="s">
        <v>2779</v>
      </c>
      <c r="T340" s="166" t="s">
        <v>376</v>
      </c>
      <c r="U340" s="166"/>
      <c r="V340" s="166" t="s">
        <v>1919</v>
      </c>
      <c r="W340" s="185" t="s">
        <v>1764</v>
      </c>
      <c r="X340" s="186" t="s">
        <v>688</v>
      </c>
      <c r="Y340" s="166"/>
      <c r="Z340" s="168" t="s">
        <v>22</v>
      </c>
      <c r="AA340" s="166" t="s">
        <v>432</v>
      </c>
      <c r="AB340" s="167" t="s">
        <v>1915</v>
      </c>
      <c r="AC340" s="166"/>
      <c r="AD340" s="166"/>
      <c r="AE340" s="166"/>
      <c r="AF340" s="166"/>
      <c r="AG340" s="166"/>
      <c r="AH340" s="166"/>
      <c r="AI340" s="166"/>
      <c r="AJ340" s="17"/>
      <c r="AK340" s="17"/>
      <c r="AL340" s="17"/>
      <c r="AM340" s="17"/>
    </row>
    <row r="341" spans="2:39" s="2" customFormat="1" ht="43.5">
      <c r="B341" s="2">
        <v>283</v>
      </c>
      <c r="D341" s="37"/>
      <c r="E341" s="17"/>
      <c r="K341" s="213"/>
      <c r="L341" s="213"/>
      <c r="M341" s="213"/>
      <c r="T341" s="166" t="s">
        <v>376</v>
      </c>
      <c r="U341" s="166"/>
      <c r="V341" s="166" t="s">
        <v>1916</v>
      </c>
      <c r="W341" s="185" t="s">
        <v>1764</v>
      </c>
      <c r="X341" s="186" t="s">
        <v>688</v>
      </c>
      <c r="Y341" s="166"/>
      <c r="Z341" s="168" t="s">
        <v>22</v>
      </c>
      <c r="AA341" s="166" t="s">
        <v>432</v>
      </c>
      <c r="AB341" s="167" t="s">
        <v>1917</v>
      </c>
      <c r="AC341" s="166"/>
      <c r="AD341" s="166"/>
      <c r="AE341" s="166"/>
      <c r="AF341" s="166"/>
      <c r="AG341" s="166"/>
      <c r="AH341" s="166"/>
      <c r="AI341" s="166"/>
      <c r="AJ341" s="17"/>
      <c r="AK341" s="17"/>
      <c r="AL341" s="17"/>
      <c r="AM341" s="17"/>
    </row>
    <row r="342" spans="2:39" s="2" customFormat="1" ht="72.5">
      <c r="B342" s="2">
        <v>284</v>
      </c>
      <c r="D342" s="37"/>
      <c r="E342" s="17"/>
      <c r="K342" s="213"/>
      <c r="L342" s="213"/>
      <c r="M342" s="213"/>
      <c r="T342" s="166" t="s">
        <v>376</v>
      </c>
      <c r="U342" s="166"/>
      <c r="V342" s="166" t="s">
        <v>1918</v>
      </c>
      <c r="W342" s="185" t="s">
        <v>1764</v>
      </c>
      <c r="X342" s="186" t="s">
        <v>688</v>
      </c>
      <c r="Y342" s="166"/>
      <c r="Z342" s="168" t="s">
        <v>22</v>
      </c>
      <c r="AA342" s="166" t="s">
        <v>432</v>
      </c>
      <c r="AB342" s="167" t="s">
        <v>1917</v>
      </c>
      <c r="AC342" s="166"/>
      <c r="AD342" s="166"/>
      <c r="AE342" s="166"/>
      <c r="AF342" s="166"/>
      <c r="AG342" s="166"/>
      <c r="AH342" s="166"/>
      <c r="AI342" s="166"/>
      <c r="AJ342" s="17"/>
      <c r="AK342" s="17"/>
      <c r="AL342" s="17"/>
      <c r="AM342" s="17"/>
    </row>
    <row r="343" spans="2:39" s="2" customFormat="1" ht="58">
      <c r="B343" s="2">
        <v>285</v>
      </c>
      <c r="D343" s="37"/>
      <c r="E343" s="17" t="s">
        <v>166</v>
      </c>
      <c r="K343" s="213"/>
      <c r="L343" s="213"/>
      <c r="M343" s="213"/>
      <c r="T343" s="166" t="s">
        <v>376</v>
      </c>
      <c r="U343" s="166"/>
      <c r="V343" s="166" t="s">
        <v>1922</v>
      </c>
      <c r="W343" s="185" t="s">
        <v>1764</v>
      </c>
      <c r="X343" s="186" t="s">
        <v>688</v>
      </c>
      <c r="Y343" s="166"/>
      <c r="Z343" s="168" t="s">
        <v>22</v>
      </c>
      <c r="AA343" s="166" t="s">
        <v>539</v>
      </c>
      <c r="AB343" s="167" t="s">
        <v>1923</v>
      </c>
      <c r="AC343" s="166"/>
      <c r="AD343" s="166"/>
      <c r="AE343" s="166"/>
      <c r="AF343" s="166"/>
      <c r="AG343" s="166"/>
      <c r="AH343" s="166"/>
      <c r="AI343" s="166"/>
      <c r="AJ343" s="17"/>
      <c r="AK343" s="17"/>
      <c r="AL343" s="17"/>
      <c r="AM343" s="17"/>
    </row>
    <row r="344" spans="2:39" s="2" customFormat="1" ht="101.5">
      <c r="B344" s="2">
        <v>286</v>
      </c>
      <c r="D344" s="37"/>
      <c r="E344" s="17" t="s">
        <v>1921</v>
      </c>
      <c r="K344" s="213"/>
      <c r="L344" s="213"/>
      <c r="M344" s="213"/>
      <c r="T344" s="166" t="s">
        <v>376</v>
      </c>
      <c r="U344" s="166"/>
      <c r="V344" s="166" t="s">
        <v>1946</v>
      </c>
      <c r="W344" s="185" t="s">
        <v>1764</v>
      </c>
      <c r="X344" s="186" t="s">
        <v>688</v>
      </c>
      <c r="Y344" s="166"/>
      <c r="Z344" s="168" t="s">
        <v>22</v>
      </c>
      <c r="AA344" s="166" t="s">
        <v>595</v>
      </c>
      <c r="AB344" s="167" t="s">
        <v>1923</v>
      </c>
      <c r="AC344" s="166"/>
      <c r="AD344" s="166"/>
      <c r="AE344" s="166"/>
      <c r="AF344" s="166"/>
      <c r="AG344" s="166"/>
      <c r="AH344" s="166"/>
      <c r="AI344" s="166"/>
      <c r="AJ344" s="17"/>
      <c r="AK344" s="17"/>
      <c r="AL344" s="17"/>
      <c r="AM344" s="17"/>
    </row>
    <row r="345" spans="2:39" s="2" customFormat="1" ht="159.5">
      <c r="B345" s="2">
        <v>287</v>
      </c>
      <c r="D345" s="37"/>
      <c r="E345" s="17" t="s">
        <v>1947</v>
      </c>
      <c r="K345" s="213"/>
      <c r="L345" s="213"/>
      <c r="M345" s="213"/>
      <c r="T345" s="166"/>
      <c r="U345" s="166"/>
      <c r="V345" s="166" t="s">
        <v>1948</v>
      </c>
      <c r="W345" s="185" t="s">
        <v>1764</v>
      </c>
      <c r="X345" s="186" t="s">
        <v>688</v>
      </c>
      <c r="Y345" s="166"/>
      <c r="Z345" s="168" t="s">
        <v>22</v>
      </c>
      <c r="AA345" s="166" t="s">
        <v>554</v>
      </c>
      <c r="AB345" s="167" t="s">
        <v>1949</v>
      </c>
      <c r="AC345" s="166"/>
      <c r="AD345" s="166"/>
      <c r="AE345" s="166"/>
      <c r="AF345" s="166"/>
      <c r="AG345" s="166"/>
      <c r="AH345" s="166"/>
      <c r="AI345" s="166"/>
      <c r="AJ345" s="17"/>
      <c r="AK345" s="17"/>
      <c r="AL345" s="17"/>
      <c r="AM345" s="17"/>
    </row>
    <row r="346" spans="2:39" s="2" customFormat="1" ht="174">
      <c r="B346" s="2">
        <v>288</v>
      </c>
      <c r="D346" s="37" t="s">
        <v>1093</v>
      </c>
      <c r="E346" s="17" t="s">
        <v>1094</v>
      </c>
      <c r="K346" s="213"/>
      <c r="L346" s="213"/>
      <c r="M346" s="213"/>
      <c r="T346" s="166" t="s">
        <v>376</v>
      </c>
      <c r="U346" s="166"/>
      <c r="V346" s="166" t="s">
        <v>1097</v>
      </c>
      <c r="W346" s="172" t="s">
        <v>1080</v>
      </c>
      <c r="X346" s="172" t="s">
        <v>1081</v>
      </c>
      <c r="Y346" s="172">
        <v>0</v>
      </c>
      <c r="Z346" s="168" t="s">
        <v>22</v>
      </c>
      <c r="AA346" s="166" t="s">
        <v>1100</v>
      </c>
      <c r="AB346" s="169" t="s">
        <v>1101</v>
      </c>
      <c r="AC346" s="166"/>
      <c r="AD346" s="166"/>
      <c r="AE346" s="166"/>
      <c r="AF346" s="166"/>
      <c r="AG346" s="166"/>
      <c r="AH346" s="166"/>
      <c r="AI346" s="166"/>
      <c r="AJ346" s="17"/>
      <c r="AK346" s="17"/>
      <c r="AL346" s="17"/>
      <c r="AM346" s="17"/>
    </row>
    <row r="347" spans="2:39" s="2" customFormat="1" ht="43.5">
      <c r="B347" s="2">
        <v>289</v>
      </c>
      <c r="D347" s="37"/>
      <c r="E347" s="17" t="s">
        <v>1095</v>
      </c>
      <c r="K347" s="213"/>
      <c r="L347" s="213"/>
      <c r="M347" s="213"/>
      <c r="T347" s="166" t="s">
        <v>376</v>
      </c>
      <c r="U347" s="166"/>
      <c r="V347" s="166" t="s">
        <v>1098</v>
      </c>
      <c r="W347" s="172" t="s">
        <v>1080</v>
      </c>
      <c r="X347" s="172" t="s">
        <v>1081</v>
      </c>
      <c r="Y347" s="172">
        <v>0</v>
      </c>
      <c r="Z347" s="168" t="s">
        <v>22</v>
      </c>
      <c r="AA347" s="166" t="s">
        <v>1103</v>
      </c>
      <c r="AB347" s="169" t="s">
        <v>1101</v>
      </c>
      <c r="AC347" s="166"/>
      <c r="AD347" s="166"/>
      <c r="AE347" s="166"/>
      <c r="AF347" s="166"/>
      <c r="AG347" s="166"/>
      <c r="AH347" s="166"/>
      <c r="AI347" s="166"/>
      <c r="AJ347" s="17"/>
      <c r="AK347" s="17"/>
      <c r="AL347" s="17"/>
      <c r="AM347" s="17"/>
    </row>
    <row r="348" spans="2:39" s="2" customFormat="1" ht="43.5">
      <c r="B348" s="2">
        <v>290</v>
      </c>
      <c r="D348" s="37"/>
      <c r="E348" s="2" t="s">
        <v>1096</v>
      </c>
      <c r="K348" s="213"/>
      <c r="L348" s="213"/>
      <c r="M348" s="213"/>
      <c r="T348" s="166" t="s">
        <v>376</v>
      </c>
      <c r="U348" s="166"/>
      <c r="V348" s="166" t="s">
        <v>1099</v>
      </c>
      <c r="W348" s="172" t="s">
        <v>1080</v>
      </c>
      <c r="X348" s="172" t="s">
        <v>1081</v>
      </c>
      <c r="Y348" s="172">
        <v>0</v>
      </c>
      <c r="Z348" s="168" t="s">
        <v>22</v>
      </c>
      <c r="AA348" s="166" t="s">
        <v>1102</v>
      </c>
      <c r="AB348" s="169" t="s">
        <v>1101</v>
      </c>
      <c r="AC348" s="166"/>
      <c r="AD348" s="166"/>
      <c r="AE348" s="166"/>
      <c r="AF348" s="166"/>
      <c r="AG348" s="166"/>
      <c r="AH348" s="166"/>
      <c r="AI348" s="166"/>
      <c r="AJ348" s="17"/>
      <c r="AK348" s="17"/>
      <c r="AL348" s="17"/>
      <c r="AM348" s="17"/>
    </row>
    <row r="349" spans="2:39" s="2" customFormat="1">
      <c r="B349" s="2">
        <v>291</v>
      </c>
      <c r="D349" s="37"/>
      <c r="E349" s="17" t="s">
        <v>169</v>
      </c>
      <c r="K349" s="213"/>
      <c r="L349" s="213"/>
      <c r="M349" s="213"/>
      <c r="T349" s="166"/>
      <c r="U349" s="166"/>
      <c r="V349" s="166"/>
      <c r="W349" s="166"/>
      <c r="X349" s="166"/>
      <c r="Y349" s="166"/>
      <c r="Z349" s="166"/>
      <c r="AA349" s="166"/>
      <c r="AB349" s="166"/>
      <c r="AC349" s="166"/>
      <c r="AD349" s="166"/>
      <c r="AE349" s="166"/>
      <c r="AF349" s="166"/>
      <c r="AG349" s="166"/>
      <c r="AH349" s="166"/>
      <c r="AI349" s="166"/>
    </row>
    <row r="350" spans="2:39" s="2" customFormat="1" ht="91.5" customHeight="1">
      <c r="B350" s="2">
        <v>292</v>
      </c>
      <c r="C350" s="2" t="s">
        <v>18</v>
      </c>
      <c r="D350" s="37" t="s">
        <v>166</v>
      </c>
      <c r="E350" s="17" t="s">
        <v>167</v>
      </c>
      <c r="I350" s="2" t="s">
        <v>376</v>
      </c>
      <c r="K350" s="213" t="s">
        <v>2596</v>
      </c>
      <c r="L350" s="209" t="s">
        <v>2321</v>
      </c>
      <c r="M350" s="218" t="s">
        <v>2322</v>
      </c>
      <c r="N350" s="213" t="s">
        <v>2323</v>
      </c>
      <c r="O350" s="216" t="s">
        <v>22</v>
      </c>
      <c r="P350" s="215" t="s">
        <v>2595</v>
      </c>
      <c r="Q350" s="219" t="s">
        <v>2594</v>
      </c>
      <c r="T350" s="166" t="s">
        <v>376</v>
      </c>
      <c r="U350" s="166"/>
      <c r="V350" s="166" t="s">
        <v>700</v>
      </c>
      <c r="W350" s="167" t="s">
        <v>649</v>
      </c>
      <c r="X350" s="167" t="s">
        <v>650</v>
      </c>
      <c r="Y350" s="167">
        <v>0</v>
      </c>
      <c r="Z350" s="168" t="s">
        <v>22</v>
      </c>
      <c r="AA350" s="166" t="s">
        <v>698</v>
      </c>
      <c r="AB350" s="169" t="s">
        <v>691</v>
      </c>
      <c r="AC350" s="166" t="s">
        <v>1384</v>
      </c>
      <c r="AD350" s="166" t="s">
        <v>2267</v>
      </c>
      <c r="AE350" s="185" t="s">
        <v>2194</v>
      </c>
      <c r="AF350" s="172" t="s">
        <v>701</v>
      </c>
      <c r="AG350" s="186"/>
      <c r="AH350" s="187" t="s">
        <v>22</v>
      </c>
      <c r="AI350" s="166" t="s">
        <v>430</v>
      </c>
      <c r="AJ350" s="23" t="s">
        <v>2264</v>
      </c>
      <c r="AK350" s="17"/>
      <c r="AL350" s="17"/>
      <c r="AM350" s="17"/>
    </row>
    <row r="351" spans="2:39" s="2" customFormat="1" ht="91.5" customHeight="1">
      <c r="B351" s="2">
        <v>293</v>
      </c>
      <c r="D351" s="37"/>
      <c r="E351" s="17" t="s">
        <v>1952</v>
      </c>
      <c r="K351" s="213"/>
      <c r="L351" s="213"/>
      <c r="M351" s="213"/>
      <c r="T351" s="166" t="s">
        <v>376</v>
      </c>
      <c r="U351" s="166"/>
      <c r="V351" s="166" t="s">
        <v>2276</v>
      </c>
      <c r="W351" s="185" t="s">
        <v>2194</v>
      </c>
      <c r="X351" s="172" t="s">
        <v>701</v>
      </c>
      <c r="Y351" s="186"/>
      <c r="Z351" s="187" t="s">
        <v>22</v>
      </c>
      <c r="AA351" s="166" t="s">
        <v>2273</v>
      </c>
      <c r="AB351" s="169" t="s">
        <v>2272</v>
      </c>
      <c r="AC351" s="166"/>
      <c r="AD351" s="166"/>
      <c r="AE351" s="185"/>
      <c r="AF351" s="172" t="s">
        <v>2241</v>
      </c>
      <c r="AG351" s="186"/>
      <c r="AH351" s="187"/>
      <c r="AI351" s="166"/>
      <c r="AJ351" s="23"/>
      <c r="AK351" s="17"/>
      <c r="AL351" s="17"/>
      <c r="AM351" s="17"/>
    </row>
    <row r="352" spans="2:39" s="2" customFormat="1" ht="409.6" customHeight="1">
      <c r="B352" s="2">
        <v>294</v>
      </c>
      <c r="C352" s="2">
        <v>2</v>
      </c>
      <c r="D352" s="37"/>
      <c r="E352" s="17" t="s">
        <v>168</v>
      </c>
      <c r="I352" s="2" t="s">
        <v>376</v>
      </c>
      <c r="K352" s="224" t="s">
        <v>3087</v>
      </c>
      <c r="L352" s="209" t="s">
        <v>2321</v>
      </c>
      <c r="M352" s="218" t="s">
        <v>2322</v>
      </c>
      <c r="N352" s="213" t="s">
        <v>2323</v>
      </c>
      <c r="O352" s="216" t="s">
        <v>22</v>
      </c>
      <c r="P352" s="215" t="s">
        <v>2590</v>
      </c>
      <c r="Q352" s="219" t="s">
        <v>2591</v>
      </c>
      <c r="S352" s="17" t="s">
        <v>3088</v>
      </c>
      <c r="T352" s="166" t="s">
        <v>376</v>
      </c>
      <c r="U352" s="166"/>
      <c r="V352" s="166" t="s">
        <v>676</v>
      </c>
      <c r="W352" s="167" t="s">
        <v>649</v>
      </c>
      <c r="X352" s="167" t="s">
        <v>650</v>
      </c>
      <c r="Y352" s="167">
        <v>0</v>
      </c>
      <c r="Z352" s="168" t="s">
        <v>22</v>
      </c>
      <c r="AA352" s="166" t="s">
        <v>677</v>
      </c>
      <c r="AB352" s="169" t="s">
        <v>674</v>
      </c>
      <c r="AC352" s="166"/>
      <c r="AD352" s="166" t="s">
        <v>2269</v>
      </c>
      <c r="AE352" s="185" t="s">
        <v>2194</v>
      </c>
      <c r="AF352" s="172" t="s">
        <v>701</v>
      </c>
      <c r="AG352" s="186"/>
      <c r="AH352" s="187" t="s">
        <v>22</v>
      </c>
      <c r="AI352" s="166" t="s">
        <v>714</v>
      </c>
      <c r="AJ352" s="23" t="s">
        <v>2268</v>
      </c>
      <c r="AK352" s="17"/>
      <c r="AL352" s="17"/>
      <c r="AM352" s="17"/>
    </row>
    <row r="353" spans="2:39" s="2" customFormat="1" ht="368.15" customHeight="1">
      <c r="B353" s="2">
        <v>295</v>
      </c>
      <c r="D353" s="37"/>
      <c r="E353" s="17" t="s">
        <v>2547</v>
      </c>
      <c r="I353" s="2" t="s">
        <v>376</v>
      </c>
      <c r="K353" s="224" t="s">
        <v>2548</v>
      </c>
      <c r="L353" s="209" t="s">
        <v>2321</v>
      </c>
      <c r="M353" s="218" t="s">
        <v>2322</v>
      </c>
      <c r="N353" s="213" t="s">
        <v>2323</v>
      </c>
      <c r="O353" s="216" t="s">
        <v>22</v>
      </c>
      <c r="P353" s="215" t="s">
        <v>620</v>
      </c>
      <c r="Q353" s="219" t="s">
        <v>2546</v>
      </c>
      <c r="S353" s="17"/>
      <c r="T353" s="166"/>
      <c r="U353" s="166"/>
      <c r="V353" s="166"/>
      <c r="W353" s="167"/>
      <c r="X353" s="167"/>
      <c r="Y353" s="167"/>
      <c r="Z353" s="168"/>
      <c r="AA353" s="166"/>
      <c r="AB353" s="169"/>
      <c r="AC353" s="166"/>
      <c r="AD353" s="166"/>
      <c r="AE353" s="185"/>
      <c r="AF353" s="172"/>
      <c r="AG353" s="186"/>
      <c r="AH353" s="187"/>
      <c r="AI353" s="166"/>
      <c r="AJ353" s="23"/>
      <c r="AK353" s="17"/>
      <c r="AL353" s="17"/>
      <c r="AM353" s="17"/>
    </row>
    <row r="354" spans="2:39" s="2" customFormat="1" ht="150.65" customHeight="1">
      <c r="B354" s="2">
        <v>296</v>
      </c>
      <c r="D354" s="37"/>
      <c r="E354" s="2" t="s">
        <v>696</v>
      </c>
      <c r="I354" s="2" t="s">
        <v>376</v>
      </c>
      <c r="K354" s="213" t="s">
        <v>2585</v>
      </c>
      <c r="L354" s="209" t="s">
        <v>2321</v>
      </c>
      <c r="M354" s="218" t="s">
        <v>2322</v>
      </c>
      <c r="N354" s="213" t="s">
        <v>2323</v>
      </c>
      <c r="O354" s="216" t="s">
        <v>22</v>
      </c>
      <c r="P354" s="215" t="s">
        <v>2586</v>
      </c>
      <c r="Q354" s="219" t="s">
        <v>2583</v>
      </c>
      <c r="T354" s="166" t="s">
        <v>376</v>
      </c>
      <c r="U354" s="166"/>
      <c r="V354" s="166" t="s">
        <v>697</v>
      </c>
      <c r="W354" s="167" t="s">
        <v>649</v>
      </c>
      <c r="X354" s="167" t="s">
        <v>650</v>
      </c>
      <c r="Y354" s="167">
        <v>0</v>
      </c>
      <c r="Z354" s="168" t="s">
        <v>22</v>
      </c>
      <c r="AA354" s="166" t="s">
        <v>698</v>
      </c>
      <c r="AB354" s="169" t="s">
        <v>691</v>
      </c>
      <c r="AC354" s="166" t="s">
        <v>699</v>
      </c>
      <c r="AD354" s="166" t="s">
        <v>2274</v>
      </c>
      <c r="AE354" s="185" t="s">
        <v>2194</v>
      </c>
      <c r="AF354" s="172" t="s">
        <v>701</v>
      </c>
      <c r="AG354" s="186"/>
      <c r="AH354" s="187" t="s">
        <v>22</v>
      </c>
      <c r="AI354" s="166" t="s">
        <v>2275</v>
      </c>
      <c r="AJ354" s="23" t="s">
        <v>2268</v>
      </c>
      <c r="AK354" s="17"/>
      <c r="AL354" s="17"/>
      <c r="AM354" s="17"/>
    </row>
    <row r="355" spans="2:39" s="2" customFormat="1" ht="116.15" customHeight="1">
      <c r="B355" s="2">
        <v>297</v>
      </c>
      <c r="D355" s="37"/>
      <c r="E355" s="2" t="s">
        <v>301</v>
      </c>
      <c r="K355" s="213"/>
      <c r="L355" s="213"/>
      <c r="M355" s="213"/>
      <c r="T355" s="166" t="s">
        <v>376</v>
      </c>
      <c r="U355" s="166"/>
      <c r="V355" s="166" t="s">
        <v>686</v>
      </c>
      <c r="W355" s="167" t="s">
        <v>649</v>
      </c>
      <c r="X355" s="167" t="s">
        <v>650</v>
      </c>
      <c r="Y355" s="167">
        <v>0</v>
      </c>
      <c r="Z355" s="168" t="s">
        <v>22</v>
      </c>
      <c r="AA355" s="166" t="s">
        <v>680</v>
      </c>
      <c r="AB355" s="169" t="s">
        <v>674</v>
      </c>
      <c r="AC355" s="166"/>
      <c r="AD355" s="166"/>
      <c r="AE355" s="166"/>
      <c r="AF355" s="166"/>
      <c r="AG355" s="166"/>
      <c r="AH355" s="166"/>
      <c r="AI355" s="166"/>
      <c r="AJ355" s="17"/>
      <c r="AK355" s="17"/>
      <c r="AL355" s="17"/>
      <c r="AM355" s="17"/>
    </row>
    <row r="356" spans="2:39" s="2" customFormat="1" ht="174">
      <c r="B356" s="2">
        <v>298</v>
      </c>
      <c r="D356" s="37"/>
      <c r="E356" s="2" t="s">
        <v>348</v>
      </c>
      <c r="K356" s="213"/>
      <c r="L356" s="213"/>
      <c r="M356" s="213"/>
      <c r="T356" s="166" t="s">
        <v>376</v>
      </c>
      <c r="U356" s="166"/>
      <c r="V356" s="166" t="s">
        <v>2295</v>
      </c>
      <c r="W356" s="185" t="s">
        <v>2194</v>
      </c>
      <c r="X356" s="172" t="s">
        <v>701</v>
      </c>
      <c r="Y356" s="186"/>
      <c r="Z356" s="187" t="s">
        <v>22</v>
      </c>
      <c r="AA356" s="166" t="s">
        <v>1625</v>
      </c>
      <c r="AB356" s="169" t="s">
        <v>2294</v>
      </c>
      <c r="AC356" s="166"/>
      <c r="AD356" s="166"/>
      <c r="AE356" s="166"/>
      <c r="AF356" s="166"/>
      <c r="AG356" s="166"/>
      <c r="AH356" s="166"/>
      <c r="AI356" s="166"/>
      <c r="AJ356" s="17"/>
      <c r="AK356" s="17"/>
      <c r="AL356" s="17"/>
      <c r="AM356" s="17"/>
    </row>
    <row r="357" spans="2:39" s="2" customFormat="1" ht="72.5">
      <c r="B357" s="2">
        <v>299</v>
      </c>
      <c r="D357" s="37"/>
      <c r="E357" s="2" t="s">
        <v>353</v>
      </c>
      <c r="K357" s="213" t="s">
        <v>18</v>
      </c>
      <c r="L357" s="213"/>
      <c r="M357" s="213"/>
      <c r="T357" s="166" t="s">
        <v>376</v>
      </c>
      <c r="U357" s="166"/>
      <c r="V357" s="166" t="s">
        <v>2299</v>
      </c>
      <c r="W357" s="185" t="s">
        <v>2194</v>
      </c>
      <c r="X357" s="172" t="s">
        <v>701</v>
      </c>
      <c r="Y357" s="186"/>
      <c r="Z357" s="187" t="s">
        <v>22</v>
      </c>
      <c r="AA357" s="166" t="s">
        <v>2188</v>
      </c>
      <c r="AB357" s="169" t="s">
        <v>2300</v>
      </c>
      <c r="AC357" s="166"/>
      <c r="AD357" s="166"/>
      <c r="AE357" s="166"/>
      <c r="AF357" s="166"/>
      <c r="AG357" s="166"/>
      <c r="AH357" s="166"/>
      <c r="AI357" s="166"/>
      <c r="AJ357" s="17"/>
      <c r="AK357" s="17"/>
      <c r="AL357" s="17"/>
      <c r="AM357" s="17"/>
    </row>
    <row r="358" spans="2:39" s="2" customFormat="1" ht="26">
      <c r="B358" s="2">
        <v>300</v>
      </c>
      <c r="D358" s="37" t="s">
        <v>170</v>
      </c>
      <c r="E358" s="2" t="s">
        <v>171</v>
      </c>
      <c r="F358" s="2" t="s">
        <v>172</v>
      </c>
      <c r="I358" s="18" t="s">
        <v>376</v>
      </c>
      <c r="K358" s="213" t="s">
        <v>3089</v>
      </c>
      <c r="L358" s="209" t="s">
        <v>2784</v>
      </c>
      <c r="M358" s="239" t="s">
        <v>1598</v>
      </c>
      <c r="N358" s="217"/>
      <c r="O358" s="216" t="s">
        <v>22</v>
      </c>
      <c r="P358" s="215" t="s">
        <v>2846</v>
      </c>
      <c r="Q358" s="215" t="s">
        <v>2855</v>
      </c>
      <c r="S358" s="17"/>
      <c r="T358" s="166"/>
      <c r="U358" s="166"/>
      <c r="V358" s="166"/>
      <c r="W358" s="173"/>
      <c r="X358" s="174"/>
      <c r="Y358" s="174"/>
      <c r="Z358" s="181"/>
      <c r="AA358" s="166"/>
      <c r="AB358" s="166"/>
      <c r="AC358" s="166"/>
      <c r="AD358" s="166"/>
      <c r="AE358" s="166"/>
      <c r="AF358" s="166"/>
      <c r="AG358" s="166"/>
      <c r="AH358" s="166"/>
      <c r="AI358" s="166"/>
      <c r="AJ358" s="17"/>
      <c r="AK358" s="17"/>
      <c r="AL358" s="17"/>
      <c r="AM358" s="17"/>
    </row>
    <row r="359" spans="2:39" s="2" customFormat="1" ht="133.5">
      <c r="D359" s="37"/>
      <c r="E359" s="2" t="s">
        <v>173</v>
      </c>
      <c r="F359" s="2" t="s">
        <v>2640</v>
      </c>
      <c r="I359" s="18" t="s">
        <v>376</v>
      </c>
      <c r="K359" s="213" t="s">
        <v>3123</v>
      </c>
      <c r="L359" s="209" t="s">
        <v>2784</v>
      </c>
      <c r="M359" s="239" t="s">
        <v>1598</v>
      </c>
      <c r="N359" s="217"/>
      <c r="O359" s="216" t="s">
        <v>22</v>
      </c>
      <c r="P359" s="215" t="s">
        <v>2816</v>
      </c>
      <c r="Q359" s="215" t="s">
        <v>2817</v>
      </c>
      <c r="T359" s="166"/>
      <c r="U359" s="166"/>
      <c r="V359" s="166"/>
      <c r="W359" s="173"/>
      <c r="X359" s="174"/>
      <c r="Y359" s="174"/>
      <c r="Z359" s="181"/>
      <c r="AA359" s="166"/>
      <c r="AB359" s="166"/>
      <c r="AC359" s="166"/>
      <c r="AD359" s="166"/>
      <c r="AE359" s="166"/>
      <c r="AF359" s="166"/>
      <c r="AG359" s="166"/>
      <c r="AH359" s="166"/>
      <c r="AI359" s="166"/>
      <c r="AJ359" s="17"/>
      <c r="AK359" s="17"/>
      <c r="AL359" s="17"/>
      <c r="AM359" s="17"/>
    </row>
    <row r="360" spans="2:39" s="2" customFormat="1" ht="90.65" customHeight="1">
      <c r="B360" s="2">
        <v>301</v>
      </c>
      <c r="D360" s="37"/>
      <c r="I360" s="2" t="s">
        <v>376</v>
      </c>
      <c r="K360" s="213" t="s">
        <v>2641</v>
      </c>
      <c r="L360" s="209" t="s">
        <v>2321</v>
      </c>
      <c r="M360" s="218" t="s">
        <v>2322</v>
      </c>
      <c r="N360" s="213" t="s">
        <v>2323</v>
      </c>
      <c r="O360" s="216" t="s">
        <v>22</v>
      </c>
      <c r="P360" s="215" t="s">
        <v>2642</v>
      </c>
      <c r="Q360" s="219" t="s">
        <v>2643</v>
      </c>
      <c r="T360" s="166"/>
      <c r="U360" s="166"/>
      <c r="V360" s="166"/>
      <c r="W360" s="173"/>
      <c r="X360" s="174"/>
      <c r="Y360" s="174"/>
      <c r="Z360" s="181"/>
      <c r="AA360" s="166"/>
      <c r="AB360" s="166"/>
      <c r="AC360" s="166"/>
      <c r="AD360" s="166"/>
      <c r="AE360" s="166"/>
      <c r="AF360" s="166"/>
      <c r="AG360" s="166"/>
      <c r="AH360" s="166"/>
      <c r="AI360" s="166"/>
      <c r="AJ360" s="17"/>
      <c r="AK360" s="17"/>
      <c r="AL360" s="17"/>
      <c r="AM360" s="17"/>
    </row>
    <row r="361" spans="2:39" s="2" customFormat="1" ht="73.5">
      <c r="B361" s="2">
        <v>302</v>
      </c>
      <c r="D361" s="37"/>
      <c r="F361" s="2" t="s">
        <v>174</v>
      </c>
      <c r="I361" s="2" t="s">
        <v>376</v>
      </c>
      <c r="K361" s="213" t="s">
        <v>2638</v>
      </c>
      <c r="L361" s="209" t="s">
        <v>2321</v>
      </c>
      <c r="M361" s="218" t="s">
        <v>2322</v>
      </c>
      <c r="N361" s="213" t="s">
        <v>2323</v>
      </c>
      <c r="O361" s="216" t="s">
        <v>22</v>
      </c>
      <c r="P361" s="215" t="s">
        <v>2639</v>
      </c>
      <c r="Q361" s="219" t="s">
        <v>2633</v>
      </c>
      <c r="S361" s="17"/>
      <c r="T361" s="166"/>
      <c r="U361" s="166"/>
      <c r="V361" s="166"/>
      <c r="W361" s="166"/>
      <c r="X361" s="171"/>
      <c r="Y361" s="166"/>
      <c r="Z361" s="170"/>
      <c r="AA361" s="166"/>
      <c r="AB361" s="171"/>
      <c r="AC361" s="166"/>
      <c r="AD361" s="166"/>
      <c r="AE361" s="166"/>
      <c r="AF361" s="166"/>
      <c r="AG361" s="166"/>
      <c r="AH361" s="166"/>
      <c r="AI361" s="166"/>
      <c r="AJ361" s="17"/>
      <c r="AK361" s="17"/>
      <c r="AL361" s="17"/>
      <c r="AM361" s="17"/>
    </row>
    <row r="362" spans="2:39" s="2" customFormat="1" ht="58">
      <c r="D362" s="37"/>
      <c r="E362" s="2" t="s">
        <v>2819</v>
      </c>
      <c r="I362" s="18" t="s">
        <v>376</v>
      </c>
      <c r="K362" s="213" t="s">
        <v>3124</v>
      </c>
      <c r="L362" s="209" t="s">
        <v>2784</v>
      </c>
      <c r="M362" s="239" t="s">
        <v>1598</v>
      </c>
      <c r="N362" s="217"/>
      <c r="O362" s="216" t="s">
        <v>22</v>
      </c>
      <c r="P362" s="215" t="s">
        <v>2818</v>
      </c>
      <c r="Q362" s="215" t="s">
        <v>2817</v>
      </c>
      <c r="T362" s="166"/>
      <c r="U362" s="166"/>
      <c r="V362" s="166"/>
      <c r="W362" s="192"/>
      <c r="X362" s="225"/>
      <c r="Y362" s="192"/>
      <c r="Z362" s="226"/>
      <c r="AA362" s="166"/>
      <c r="AB362" s="171"/>
      <c r="AC362" s="166"/>
      <c r="AD362" s="166"/>
      <c r="AE362" s="166"/>
      <c r="AF362" s="166"/>
      <c r="AG362" s="166"/>
      <c r="AH362" s="166"/>
      <c r="AI362" s="166"/>
      <c r="AJ362" s="17"/>
      <c r="AK362" s="17"/>
      <c r="AL362" s="17"/>
      <c r="AM362" s="17"/>
    </row>
    <row r="363" spans="2:39" s="2" customFormat="1" ht="87">
      <c r="D363" s="37"/>
      <c r="I363" s="18" t="s">
        <v>376</v>
      </c>
      <c r="K363" s="213" t="s">
        <v>3090</v>
      </c>
      <c r="L363" s="209" t="s">
        <v>2784</v>
      </c>
      <c r="M363" s="239" t="s">
        <v>1598</v>
      </c>
      <c r="N363" s="217"/>
      <c r="O363" s="216" t="s">
        <v>22</v>
      </c>
      <c r="P363" s="215" t="s">
        <v>2821</v>
      </c>
      <c r="Q363" s="215" t="s">
        <v>2820</v>
      </c>
      <c r="S363" s="17"/>
      <c r="T363" s="166"/>
      <c r="U363" s="166"/>
      <c r="V363" s="166"/>
      <c r="W363" s="192"/>
      <c r="X363" s="225"/>
      <c r="Y363" s="192"/>
      <c r="Z363" s="226"/>
      <c r="AA363" s="166"/>
      <c r="AB363" s="171"/>
      <c r="AC363" s="166"/>
      <c r="AD363" s="166"/>
      <c r="AE363" s="166"/>
      <c r="AF363" s="166"/>
      <c r="AG363" s="166"/>
      <c r="AH363" s="166"/>
      <c r="AI363" s="166"/>
      <c r="AJ363" s="17"/>
      <c r="AK363" s="17"/>
      <c r="AL363" s="17"/>
      <c r="AM363" s="17"/>
    </row>
    <row r="364" spans="2:39" s="2" customFormat="1" ht="409.5">
      <c r="D364" s="37"/>
      <c r="E364" s="2" t="s">
        <v>2822</v>
      </c>
      <c r="I364" s="18" t="s">
        <v>376</v>
      </c>
      <c r="K364" s="213" t="s">
        <v>3091</v>
      </c>
      <c r="L364" s="209" t="s">
        <v>2784</v>
      </c>
      <c r="M364" s="239" t="s">
        <v>1598</v>
      </c>
      <c r="N364" s="217"/>
      <c r="O364" s="216" t="s">
        <v>22</v>
      </c>
      <c r="P364" s="215" t="s">
        <v>2824</v>
      </c>
      <c r="Q364" s="215" t="s">
        <v>2823</v>
      </c>
      <c r="S364" s="17"/>
      <c r="T364" s="166"/>
      <c r="U364" s="166"/>
      <c r="V364" s="166"/>
      <c r="W364" s="192"/>
      <c r="X364" s="225"/>
      <c r="Y364" s="192"/>
      <c r="Z364" s="226"/>
      <c r="AA364" s="166"/>
      <c r="AB364" s="171"/>
      <c r="AC364" s="166"/>
      <c r="AD364" s="166"/>
      <c r="AE364" s="166"/>
      <c r="AF364" s="166"/>
      <c r="AG364" s="166"/>
      <c r="AH364" s="166"/>
      <c r="AI364" s="166"/>
      <c r="AJ364" s="17"/>
      <c r="AK364" s="17"/>
      <c r="AL364" s="17"/>
      <c r="AM364" s="17"/>
    </row>
    <row r="365" spans="2:39" s="2" customFormat="1" ht="130.5">
      <c r="D365" s="37"/>
      <c r="E365" s="2" t="s">
        <v>2825</v>
      </c>
      <c r="I365" s="18" t="s">
        <v>376</v>
      </c>
      <c r="K365" s="213" t="s">
        <v>3125</v>
      </c>
      <c r="L365" s="209" t="s">
        <v>2784</v>
      </c>
      <c r="M365" s="239" t="s">
        <v>1598</v>
      </c>
      <c r="N365" s="217"/>
      <c r="O365" s="216" t="s">
        <v>22</v>
      </c>
      <c r="P365" s="215" t="s">
        <v>2826</v>
      </c>
      <c r="Q365" s="215" t="s">
        <v>2827</v>
      </c>
      <c r="T365" s="166"/>
      <c r="U365" s="166"/>
      <c r="V365" s="166"/>
      <c r="W365" s="192"/>
      <c r="X365" s="225"/>
      <c r="Y365" s="192"/>
      <c r="Z365" s="226"/>
      <c r="AA365" s="166"/>
      <c r="AB365" s="171"/>
      <c r="AC365" s="166"/>
      <c r="AD365" s="166"/>
      <c r="AE365" s="166"/>
      <c r="AF365" s="166"/>
      <c r="AG365" s="166"/>
      <c r="AH365" s="166"/>
      <c r="AI365" s="166"/>
      <c r="AJ365" s="17"/>
      <c r="AK365" s="17"/>
      <c r="AL365" s="17"/>
      <c r="AM365" s="17"/>
    </row>
    <row r="366" spans="2:39" s="2" customFormat="1">
      <c r="D366" s="37"/>
      <c r="K366" s="213"/>
      <c r="L366" s="209"/>
      <c r="M366" s="239"/>
      <c r="N366" s="240"/>
      <c r="O366" s="216"/>
      <c r="P366" s="215"/>
      <c r="Q366" s="215"/>
      <c r="T366" s="166"/>
      <c r="U366" s="166"/>
      <c r="V366" s="166"/>
      <c r="W366" s="192"/>
      <c r="X366" s="225"/>
      <c r="Y366" s="192"/>
      <c r="Z366" s="226"/>
      <c r="AA366" s="166"/>
      <c r="AB366" s="171"/>
      <c r="AC366" s="166"/>
      <c r="AD366" s="166"/>
      <c r="AE366" s="166"/>
      <c r="AF366" s="166"/>
      <c r="AG366" s="166"/>
      <c r="AH366" s="166"/>
      <c r="AI366" s="166"/>
      <c r="AJ366" s="17"/>
      <c r="AK366" s="17"/>
      <c r="AL366" s="17"/>
      <c r="AM366" s="17"/>
    </row>
    <row r="367" spans="2:39" s="2" customFormat="1" ht="54.75" customHeight="1">
      <c r="B367" s="2">
        <v>303</v>
      </c>
      <c r="D367" s="37" t="s">
        <v>175</v>
      </c>
      <c r="E367" s="2" t="s">
        <v>2559</v>
      </c>
      <c r="I367" s="2" t="s">
        <v>376</v>
      </c>
      <c r="K367" s="213" t="s">
        <v>2560</v>
      </c>
      <c r="L367" s="209" t="s">
        <v>2321</v>
      </c>
      <c r="M367" s="218" t="s">
        <v>2322</v>
      </c>
      <c r="N367" s="213" t="s">
        <v>2323</v>
      </c>
      <c r="O367" s="216" t="s">
        <v>22</v>
      </c>
      <c r="P367" s="215" t="s">
        <v>771</v>
      </c>
      <c r="Q367" s="219" t="s">
        <v>2561</v>
      </c>
      <c r="S367" s="17"/>
      <c r="T367" s="166"/>
      <c r="U367" s="166"/>
      <c r="V367" s="166"/>
      <c r="W367" s="192"/>
      <c r="X367" s="225"/>
      <c r="Y367" s="192"/>
      <c r="Z367" s="226"/>
      <c r="AA367" s="166"/>
      <c r="AB367" s="171"/>
      <c r="AC367" s="166"/>
      <c r="AD367" s="166"/>
      <c r="AE367" s="166"/>
      <c r="AF367" s="166"/>
      <c r="AG367" s="166"/>
      <c r="AH367" s="166"/>
      <c r="AI367" s="166"/>
      <c r="AJ367" s="17"/>
      <c r="AK367" s="17"/>
      <c r="AL367" s="17"/>
      <c r="AM367" s="17"/>
    </row>
    <row r="368" spans="2:39" s="2" customFormat="1" ht="58">
      <c r="B368" s="2">
        <v>304</v>
      </c>
      <c r="D368" s="37"/>
      <c r="E368" s="2" t="s">
        <v>2277</v>
      </c>
      <c r="L368" s="213"/>
      <c r="M368" s="213"/>
      <c r="T368" s="166" t="s">
        <v>376</v>
      </c>
      <c r="U368" s="166"/>
      <c r="V368" s="166" t="s">
        <v>2280</v>
      </c>
      <c r="W368" s="185" t="s">
        <v>2194</v>
      </c>
      <c r="X368" s="172" t="s">
        <v>701</v>
      </c>
      <c r="Y368" s="186"/>
      <c r="Z368" s="187" t="s">
        <v>22</v>
      </c>
      <c r="AA368" s="166" t="s">
        <v>2283</v>
      </c>
      <c r="AB368" s="169" t="s">
        <v>2279</v>
      </c>
      <c r="AC368" s="166"/>
      <c r="AD368" s="166"/>
      <c r="AE368" s="166"/>
      <c r="AF368" s="166"/>
      <c r="AG368" s="166"/>
      <c r="AH368" s="166"/>
      <c r="AI368" s="166"/>
    </row>
    <row r="369" spans="2:39" s="2" customFormat="1" ht="333.5">
      <c r="B369" s="2">
        <v>305</v>
      </c>
      <c r="D369" s="37"/>
      <c r="E369" s="2" t="s">
        <v>894</v>
      </c>
      <c r="L369" s="213"/>
      <c r="M369" s="213"/>
      <c r="T369" s="166" t="s">
        <v>376</v>
      </c>
      <c r="U369" s="166"/>
      <c r="V369" s="166" t="s">
        <v>2282</v>
      </c>
      <c r="W369" s="185" t="s">
        <v>2194</v>
      </c>
      <c r="X369" s="172" t="s">
        <v>701</v>
      </c>
      <c r="Y369" s="186"/>
      <c r="Z369" s="187" t="s">
        <v>22</v>
      </c>
      <c r="AA369" s="166" t="s">
        <v>2284</v>
      </c>
      <c r="AB369" s="169" t="s">
        <v>2285</v>
      </c>
      <c r="AC369" s="166"/>
      <c r="AD369" s="166"/>
      <c r="AE369" s="166"/>
      <c r="AF369" s="166"/>
      <c r="AG369" s="166"/>
      <c r="AH369" s="166"/>
      <c r="AI369" s="166"/>
    </row>
    <row r="370" spans="2:39" s="2" customFormat="1" ht="58">
      <c r="B370" s="2">
        <v>306</v>
      </c>
      <c r="D370" s="37"/>
      <c r="E370" s="2" t="s">
        <v>392</v>
      </c>
      <c r="K370" s="213"/>
      <c r="L370" s="213"/>
      <c r="M370" s="213"/>
      <c r="T370" s="166" t="s">
        <v>376</v>
      </c>
      <c r="U370" s="166"/>
      <c r="V370" s="166" t="s">
        <v>2286</v>
      </c>
      <c r="W370" s="185" t="s">
        <v>2194</v>
      </c>
      <c r="X370" s="172" t="s">
        <v>701</v>
      </c>
      <c r="Y370" s="186"/>
      <c r="Z370" s="187" t="s">
        <v>22</v>
      </c>
      <c r="AA370" s="166" t="s">
        <v>2287</v>
      </c>
      <c r="AB370" s="169" t="s">
        <v>2288</v>
      </c>
      <c r="AC370" s="166"/>
      <c r="AD370" s="166"/>
      <c r="AE370" s="166"/>
      <c r="AF370" s="166"/>
      <c r="AG370" s="166"/>
      <c r="AH370" s="166"/>
      <c r="AI370" s="166"/>
    </row>
    <row r="371" spans="2:39" s="2" customFormat="1">
      <c r="B371" s="2">
        <v>307</v>
      </c>
      <c r="D371" s="37"/>
      <c r="E371" s="2" t="s">
        <v>176</v>
      </c>
      <c r="F371" s="2" t="s">
        <v>177</v>
      </c>
      <c r="K371" s="213"/>
      <c r="L371" s="213"/>
      <c r="M371" s="213"/>
      <c r="T371" s="166"/>
      <c r="U371" s="166"/>
      <c r="V371" s="166"/>
      <c r="W371" s="166"/>
      <c r="X371" s="166"/>
      <c r="Y371" s="166"/>
      <c r="Z371" s="166"/>
      <c r="AA371" s="166"/>
      <c r="AB371" s="166"/>
      <c r="AC371" s="166"/>
      <c r="AD371" s="166"/>
      <c r="AE371" s="166"/>
      <c r="AF371" s="166"/>
      <c r="AG371" s="166"/>
      <c r="AH371" s="166"/>
      <c r="AI371" s="166"/>
      <c r="AJ371" s="17"/>
      <c r="AK371" s="17"/>
      <c r="AL371" s="17"/>
      <c r="AM371" s="17"/>
    </row>
    <row r="372" spans="2:39" s="2" customFormat="1">
      <c r="B372" s="2">
        <v>308</v>
      </c>
      <c r="C372" s="2">
        <v>1</v>
      </c>
      <c r="D372" s="37"/>
      <c r="F372" s="2" t="s">
        <v>178</v>
      </c>
      <c r="K372" s="213"/>
      <c r="L372" s="213"/>
      <c r="M372" s="213"/>
      <c r="T372" s="166"/>
      <c r="U372" s="166"/>
      <c r="V372" s="166"/>
      <c r="W372" s="166"/>
      <c r="X372" s="166"/>
      <c r="Y372" s="166"/>
      <c r="Z372" s="166"/>
      <c r="AA372" s="166"/>
      <c r="AB372" s="166"/>
      <c r="AC372" s="166"/>
      <c r="AD372" s="166"/>
      <c r="AE372" s="166"/>
      <c r="AF372" s="166"/>
      <c r="AG372" s="166"/>
      <c r="AH372" s="166"/>
      <c r="AI372" s="166"/>
      <c r="AJ372" s="17"/>
      <c r="AK372" s="17"/>
      <c r="AL372" s="17"/>
      <c r="AM372" s="17"/>
    </row>
    <row r="373" spans="2:39" s="2" customFormat="1" ht="29">
      <c r="B373" s="2">
        <v>309</v>
      </c>
      <c r="D373" s="37"/>
      <c r="E373" s="2" t="s">
        <v>18</v>
      </c>
      <c r="F373" s="2" t="s">
        <v>179</v>
      </c>
      <c r="K373" s="213"/>
      <c r="L373" s="213"/>
      <c r="M373" s="213"/>
      <c r="T373" s="166" t="s">
        <v>376</v>
      </c>
      <c r="U373" s="166"/>
      <c r="V373" s="166" t="s">
        <v>2281</v>
      </c>
      <c r="W373" s="185" t="s">
        <v>2194</v>
      </c>
      <c r="X373" s="172" t="s">
        <v>701</v>
      </c>
      <c r="Y373" s="186"/>
      <c r="Z373" s="187" t="s">
        <v>22</v>
      </c>
      <c r="AA373" s="166" t="s">
        <v>2278</v>
      </c>
      <c r="AB373" s="169" t="s">
        <v>2279</v>
      </c>
      <c r="AC373" s="166"/>
      <c r="AD373" s="166"/>
      <c r="AE373" s="166"/>
      <c r="AF373" s="166"/>
      <c r="AG373" s="166"/>
      <c r="AH373" s="166"/>
      <c r="AI373" s="166"/>
      <c r="AJ373" s="17"/>
      <c r="AK373" s="17"/>
      <c r="AL373" s="17"/>
      <c r="AM373" s="17"/>
    </row>
    <row r="374" spans="2:39" s="2" customFormat="1">
      <c r="B374" s="2">
        <v>310</v>
      </c>
      <c r="D374" s="37"/>
      <c r="F374" s="2" t="s">
        <v>180</v>
      </c>
      <c r="K374" s="213"/>
      <c r="L374" s="213"/>
      <c r="M374" s="213"/>
      <c r="T374" s="166"/>
      <c r="U374" s="166"/>
      <c r="V374" s="166"/>
      <c r="W374" s="166"/>
      <c r="X374" s="166"/>
      <c r="Y374" s="166"/>
      <c r="Z374" s="166"/>
      <c r="AA374" s="166"/>
      <c r="AB374" s="166"/>
      <c r="AC374" s="166"/>
      <c r="AD374" s="166"/>
      <c r="AE374" s="166"/>
      <c r="AF374" s="166"/>
      <c r="AG374" s="166"/>
      <c r="AH374" s="166"/>
      <c r="AI374" s="166"/>
      <c r="AJ374" s="17"/>
      <c r="AK374" s="17"/>
      <c r="AL374" s="17"/>
      <c r="AM374" s="17"/>
    </row>
    <row r="375" spans="2:39" s="2" customFormat="1">
      <c r="B375" s="2">
        <v>311</v>
      </c>
      <c r="D375" s="37"/>
      <c r="E375" s="17" t="s">
        <v>181</v>
      </c>
      <c r="F375" s="2" t="s">
        <v>182</v>
      </c>
      <c r="K375" s="213"/>
      <c r="L375" s="213"/>
      <c r="M375" s="213"/>
      <c r="T375" s="166"/>
      <c r="U375" s="166"/>
      <c r="V375" s="166"/>
      <c r="W375" s="166"/>
      <c r="X375" s="166"/>
      <c r="Y375" s="166"/>
      <c r="Z375" s="166"/>
      <c r="AA375" s="166"/>
      <c r="AB375" s="166"/>
      <c r="AC375" s="166"/>
      <c r="AD375" s="166"/>
      <c r="AE375" s="166"/>
      <c r="AF375" s="166"/>
      <c r="AG375" s="166"/>
      <c r="AH375" s="166"/>
      <c r="AI375" s="166"/>
      <c r="AJ375" s="17"/>
      <c r="AK375" s="17"/>
      <c r="AL375" s="17"/>
      <c r="AM375" s="17"/>
    </row>
    <row r="376" spans="2:39" s="2" customFormat="1" ht="140.5" customHeight="1">
      <c r="B376" s="2">
        <v>312</v>
      </c>
      <c r="D376" s="37"/>
      <c r="E376" s="2" t="s">
        <v>936</v>
      </c>
      <c r="K376" s="213"/>
      <c r="L376" s="213"/>
      <c r="M376" s="213"/>
      <c r="T376" s="166" t="s">
        <v>376</v>
      </c>
      <c r="U376" s="166"/>
      <c r="V376" s="166" t="s">
        <v>937</v>
      </c>
      <c r="W376" s="167" t="s">
        <v>823</v>
      </c>
      <c r="X376" s="167" t="s">
        <v>664</v>
      </c>
      <c r="Y376" s="167">
        <v>0</v>
      </c>
      <c r="Z376" s="168" t="s">
        <v>22</v>
      </c>
      <c r="AA376" s="167" t="s">
        <v>938</v>
      </c>
      <c r="AB376" s="167" t="s">
        <v>939</v>
      </c>
      <c r="AC376" s="166"/>
      <c r="AD376" s="166" t="s">
        <v>2292</v>
      </c>
      <c r="AE376" s="185" t="s">
        <v>2194</v>
      </c>
      <c r="AF376" s="172" t="s">
        <v>701</v>
      </c>
      <c r="AG376" s="186"/>
      <c r="AH376" s="187" t="s">
        <v>22</v>
      </c>
      <c r="AI376" s="166" t="s">
        <v>2290</v>
      </c>
      <c r="AJ376" s="23" t="s">
        <v>2291</v>
      </c>
      <c r="AK376" s="17"/>
      <c r="AL376" s="17"/>
      <c r="AM376" s="17"/>
    </row>
    <row r="377" spans="2:39" s="2" customFormat="1" ht="140.5" customHeight="1">
      <c r="B377" s="2">
        <v>313</v>
      </c>
      <c r="D377" s="37"/>
      <c r="E377" s="2" t="s">
        <v>2593</v>
      </c>
      <c r="I377" s="2" t="s">
        <v>376</v>
      </c>
      <c r="K377" s="213" t="s">
        <v>2592</v>
      </c>
      <c r="L377" s="209" t="s">
        <v>2321</v>
      </c>
      <c r="M377" s="218" t="s">
        <v>2322</v>
      </c>
      <c r="N377" s="213" t="s">
        <v>2323</v>
      </c>
      <c r="O377" s="216" t="s">
        <v>22</v>
      </c>
      <c r="P377" s="215" t="s">
        <v>2595</v>
      </c>
      <c r="Q377" s="219" t="s">
        <v>2589</v>
      </c>
      <c r="T377" s="166" t="s">
        <v>376</v>
      </c>
      <c r="U377" s="166"/>
      <c r="V377" s="166" t="s">
        <v>2293</v>
      </c>
      <c r="W377" s="185" t="s">
        <v>2194</v>
      </c>
      <c r="X377" s="172" t="s">
        <v>701</v>
      </c>
      <c r="Y377" s="186"/>
      <c r="Z377" s="187" t="s">
        <v>22</v>
      </c>
      <c r="AA377" s="166" t="s">
        <v>539</v>
      </c>
      <c r="AB377" s="169" t="s">
        <v>2294</v>
      </c>
      <c r="AC377" s="166"/>
      <c r="AD377" s="166"/>
      <c r="AE377" s="199"/>
      <c r="AF377" s="172"/>
      <c r="AG377" s="200"/>
      <c r="AH377" s="194"/>
      <c r="AI377" s="166"/>
      <c r="AJ377" s="23"/>
      <c r="AK377" s="17"/>
      <c r="AL377" s="17"/>
      <c r="AM377" s="17"/>
    </row>
    <row r="378" spans="2:39" s="2" customFormat="1" ht="29">
      <c r="B378" s="2">
        <v>314</v>
      </c>
      <c r="D378" s="37"/>
      <c r="E378" s="2" t="s">
        <v>183</v>
      </c>
      <c r="F378" s="2" t="s">
        <v>184</v>
      </c>
      <c r="I378" s="2" t="s">
        <v>376</v>
      </c>
      <c r="K378" s="213" t="s">
        <v>2587</v>
      </c>
      <c r="L378" s="209" t="s">
        <v>2321</v>
      </c>
      <c r="M378" s="218" t="s">
        <v>2322</v>
      </c>
      <c r="N378" s="213" t="s">
        <v>2323</v>
      </c>
      <c r="O378" s="216" t="s">
        <v>22</v>
      </c>
      <c r="P378" s="215" t="s">
        <v>2588</v>
      </c>
      <c r="Q378" s="219" t="s">
        <v>2589</v>
      </c>
      <c r="S378" s="17"/>
      <c r="T378" s="166" t="s">
        <v>376</v>
      </c>
      <c r="U378" s="166"/>
      <c r="V378" s="166" t="s">
        <v>2270</v>
      </c>
      <c r="W378" s="185" t="s">
        <v>2194</v>
      </c>
      <c r="X378" s="172" t="s">
        <v>701</v>
      </c>
      <c r="Y378" s="186"/>
      <c r="Z378" s="187" t="s">
        <v>22</v>
      </c>
      <c r="AA378" s="166" t="s">
        <v>2271</v>
      </c>
      <c r="AB378" s="169" t="s">
        <v>2272</v>
      </c>
      <c r="AC378" s="166"/>
      <c r="AD378" s="166"/>
      <c r="AE378" s="166"/>
      <c r="AF378" s="166" t="s">
        <v>2239</v>
      </c>
      <c r="AG378" s="166"/>
      <c r="AH378" s="166"/>
      <c r="AI378" s="166"/>
      <c r="AJ378" s="17"/>
      <c r="AK378" s="17"/>
      <c r="AL378" s="17"/>
      <c r="AM378" s="17"/>
    </row>
    <row r="379" spans="2:39" s="2" customFormat="1">
      <c r="B379" s="2">
        <v>315</v>
      </c>
      <c r="D379" s="37"/>
      <c r="F379" s="2" t="s">
        <v>185</v>
      </c>
      <c r="K379" s="213"/>
      <c r="L379" s="213"/>
      <c r="M379" s="213"/>
      <c r="T379" s="166"/>
      <c r="U379" s="166"/>
      <c r="V379" s="166"/>
      <c r="W379" s="166"/>
      <c r="X379" s="166"/>
      <c r="Y379" s="166"/>
      <c r="Z379" s="166"/>
      <c r="AA379" s="166"/>
      <c r="AB379" s="166"/>
      <c r="AC379" s="166"/>
      <c r="AD379" s="166"/>
      <c r="AE379" s="166"/>
      <c r="AF379" s="166"/>
      <c r="AG379" s="166"/>
      <c r="AH379" s="166"/>
      <c r="AI379" s="166"/>
      <c r="AJ379" s="17"/>
      <c r="AK379" s="17"/>
      <c r="AL379" s="17"/>
      <c r="AM379" s="17"/>
    </row>
    <row r="380" spans="2:39" s="2" customFormat="1">
      <c r="B380" s="2">
        <v>316</v>
      </c>
      <c r="D380" s="37" t="s">
        <v>186</v>
      </c>
      <c r="E380" s="2" t="s">
        <v>187</v>
      </c>
      <c r="K380" s="213"/>
      <c r="L380" s="213"/>
      <c r="M380" s="213"/>
      <c r="T380" s="166"/>
      <c r="U380" s="166"/>
      <c r="V380" s="166"/>
      <c r="W380" s="166"/>
      <c r="X380" s="166"/>
      <c r="Y380" s="166"/>
      <c r="Z380" s="166"/>
      <c r="AA380" s="166"/>
      <c r="AB380" s="166"/>
      <c r="AC380" s="166"/>
      <c r="AD380" s="166"/>
      <c r="AE380" s="166"/>
      <c r="AF380" s="166"/>
      <c r="AG380" s="166"/>
      <c r="AH380" s="166"/>
      <c r="AI380" s="166"/>
      <c r="AJ380" s="17"/>
      <c r="AK380" s="17"/>
      <c r="AL380" s="17"/>
      <c r="AM380" s="17"/>
    </row>
    <row r="381" spans="2:39" s="2" customFormat="1">
      <c r="B381" s="2">
        <v>317</v>
      </c>
      <c r="D381" s="37" t="s">
        <v>188</v>
      </c>
      <c r="E381" s="2" t="s">
        <v>189</v>
      </c>
      <c r="K381" s="213"/>
      <c r="L381" s="213"/>
      <c r="M381" s="213"/>
      <c r="T381" s="166"/>
      <c r="U381" s="166"/>
      <c r="V381" s="166" t="s">
        <v>2289</v>
      </c>
      <c r="W381" s="185" t="s">
        <v>2194</v>
      </c>
      <c r="X381" s="172" t="s">
        <v>701</v>
      </c>
      <c r="Y381" s="186"/>
      <c r="Z381" s="187" t="s">
        <v>22</v>
      </c>
      <c r="AA381" s="166" t="s">
        <v>1091</v>
      </c>
      <c r="AB381" s="169" t="s">
        <v>2288</v>
      </c>
      <c r="AC381" s="166"/>
      <c r="AD381" s="166"/>
      <c r="AE381" s="166"/>
      <c r="AF381" s="166"/>
      <c r="AG381" s="166"/>
      <c r="AH381" s="166"/>
      <c r="AI381" s="166"/>
      <c r="AJ381" s="17"/>
      <c r="AK381" s="17"/>
      <c r="AL381" s="17"/>
      <c r="AM381" s="17"/>
    </row>
    <row r="382" spans="2:39" s="2" customFormat="1">
      <c r="B382" s="2">
        <v>318</v>
      </c>
      <c r="D382" s="37"/>
      <c r="E382" s="2" t="s">
        <v>190</v>
      </c>
      <c r="K382" s="213"/>
      <c r="L382" s="213"/>
      <c r="M382" s="213"/>
      <c r="T382" s="166"/>
      <c r="U382" s="166"/>
      <c r="V382" s="166"/>
      <c r="W382" s="166"/>
      <c r="X382" s="166"/>
      <c r="Y382" s="166"/>
      <c r="Z382" s="166"/>
      <c r="AA382" s="166"/>
      <c r="AB382" s="166"/>
      <c r="AC382" s="166"/>
      <c r="AD382" s="166"/>
      <c r="AE382" s="166"/>
      <c r="AF382" s="166"/>
      <c r="AG382" s="166"/>
      <c r="AH382" s="166"/>
      <c r="AI382" s="166"/>
      <c r="AJ382" s="17"/>
      <c r="AK382" s="17"/>
      <c r="AL382" s="17"/>
      <c r="AM382" s="17"/>
    </row>
    <row r="383" spans="2:39" s="2" customFormat="1">
      <c r="B383" s="2">
        <v>319</v>
      </c>
      <c r="D383" s="37"/>
      <c r="E383" s="2" t="s">
        <v>191</v>
      </c>
      <c r="K383" s="213"/>
      <c r="L383" s="213"/>
      <c r="M383" s="213"/>
      <c r="T383" s="166"/>
      <c r="U383" s="166"/>
      <c r="V383" s="166"/>
      <c r="W383" s="166"/>
      <c r="X383" s="166"/>
      <c r="Y383" s="166"/>
      <c r="Z383" s="166"/>
      <c r="AA383" s="166"/>
      <c r="AB383" s="166"/>
      <c r="AC383" s="166"/>
      <c r="AD383" s="166"/>
      <c r="AE383" s="166"/>
      <c r="AF383" s="166"/>
      <c r="AG383" s="166"/>
      <c r="AH383" s="166"/>
      <c r="AI383" s="166"/>
      <c r="AJ383" s="17"/>
      <c r="AK383" s="17"/>
      <c r="AL383" s="17"/>
      <c r="AM383" s="17"/>
    </row>
    <row r="384" spans="2:39" s="2" customFormat="1">
      <c r="B384" s="2">
        <v>320</v>
      </c>
      <c r="D384" s="37"/>
      <c r="E384" s="2" t="s">
        <v>192</v>
      </c>
      <c r="F384" s="2" t="s">
        <v>193</v>
      </c>
      <c r="K384" s="213"/>
      <c r="L384" s="213"/>
      <c r="M384" s="213"/>
      <c r="T384" s="166"/>
      <c r="U384" s="166"/>
      <c r="V384" s="166"/>
      <c r="W384" s="166"/>
      <c r="X384" s="166"/>
      <c r="Y384" s="166"/>
      <c r="Z384" s="166"/>
      <c r="AA384" s="166"/>
      <c r="AB384" s="166"/>
      <c r="AC384" s="166"/>
      <c r="AD384" s="166"/>
      <c r="AE384" s="166"/>
      <c r="AF384" s="166"/>
      <c r="AG384" s="166"/>
      <c r="AH384" s="166"/>
      <c r="AI384" s="166"/>
      <c r="AJ384" s="17"/>
      <c r="AK384" s="17"/>
      <c r="AL384" s="17"/>
      <c r="AM384" s="17"/>
    </row>
    <row r="385" spans="2:39" s="2" customFormat="1">
      <c r="B385" s="2">
        <v>321</v>
      </c>
      <c r="D385" s="37"/>
      <c r="E385" s="2" t="s">
        <v>194</v>
      </c>
      <c r="K385" s="213"/>
      <c r="L385" s="213"/>
      <c r="M385" s="213"/>
      <c r="T385" s="166"/>
      <c r="U385" s="166"/>
      <c r="V385" s="166"/>
      <c r="W385" s="166"/>
      <c r="X385" s="166"/>
      <c r="Y385" s="166"/>
      <c r="Z385" s="166"/>
      <c r="AA385" s="166"/>
      <c r="AB385" s="166"/>
      <c r="AC385" s="166"/>
      <c r="AD385" s="166"/>
      <c r="AE385" s="166"/>
      <c r="AF385" s="166"/>
      <c r="AG385" s="166"/>
      <c r="AH385" s="166"/>
      <c r="AI385" s="166"/>
      <c r="AJ385" s="17"/>
      <c r="AK385" s="17"/>
      <c r="AL385" s="17"/>
      <c r="AM385" s="17"/>
    </row>
    <row r="386" spans="2:39" s="2" customFormat="1">
      <c r="B386" s="2">
        <v>322</v>
      </c>
      <c r="D386" s="37"/>
      <c r="E386" s="2" t="s">
        <v>195</v>
      </c>
      <c r="F386" s="2" t="s">
        <v>196</v>
      </c>
      <c r="K386" s="213"/>
      <c r="L386" s="213"/>
      <c r="M386" s="213"/>
      <c r="T386" s="166"/>
      <c r="U386" s="166"/>
      <c r="V386" s="166"/>
      <c r="W386" s="166"/>
      <c r="X386" s="166"/>
      <c r="Y386" s="166"/>
      <c r="Z386" s="166"/>
      <c r="AA386" s="166"/>
      <c r="AB386" s="166"/>
      <c r="AC386" s="166"/>
      <c r="AD386" s="166"/>
      <c r="AE386" s="166"/>
      <c r="AF386" s="166"/>
      <c r="AG386" s="166"/>
      <c r="AH386" s="166"/>
      <c r="AI386" s="166"/>
      <c r="AJ386" s="17"/>
      <c r="AK386" s="17"/>
      <c r="AL386" s="17"/>
      <c r="AM386" s="17"/>
    </row>
    <row r="387" spans="2:39" s="2" customFormat="1">
      <c r="B387" s="2">
        <v>323</v>
      </c>
      <c r="D387" s="37"/>
      <c r="E387" s="2" t="s">
        <v>197</v>
      </c>
      <c r="F387" s="2" t="s">
        <v>198</v>
      </c>
      <c r="K387" s="213"/>
      <c r="L387" s="213"/>
      <c r="M387" s="213"/>
      <c r="T387" s="166"/>
      <c r="U387" s="166"/>
      <c r="V387" s="166"/>
      <c r="W387" s="166"/>
      <c r="X387" s="166"/>
      <c r="Y387" s="166"/>
      <c r="Z387" s="166"/>
      <c r="AA387" s="166"/>
      <c r="AB387" s="166"/>
      <c r="AC387" s="166"/>
      <c r="AD387" s="166"/>
      <c r="AE387" s="166"/>
      <c r="AF387" s="166"/>
      <c r="AG387" s="166"/>
      <c r="AH387" s="166"/>
      <c r="AI387" s="166"/>
      <c r="AJ387" s="17"/>
      <c r="AK387" s="17"/>
      <c r="AL387" s="17"/>
      <c r="AM387" s="17"/>
    </row>
    <row r="388" spans="2:39" s="2" customFormat="1" ht="29">
      <c r="B388" s="2">
        <v>324</v>
      </c>
      <c r="D388" s="37"/>
      <c r="E388" s="2" t="s">
        <v>18</v>
      </c>
      <c r="F388" s="2" t="s">
        <v>199</v>
      </c>
      <c r="G388" s="2" t="s">
        <v>200</v>
      </c>
      <c r="K388" s="213"/>
      <c r="L388" s="213"/>
      <c r="M388" s="213"/>
      <c r="T388" s="166"/>
      <c r="U388" s="166"/>
      <c r="V388" s="166"/>
      <c r="W388" s="173"/>
      <c r="X388" s="174"/>
      <c r="Y388" s="174"/>
      <c r="Z388" s="181"/>
      <c r="AA388" s="166"/>
      <c r="AB388" s="171"/>
      <c r="AC388" s="166"/>
      <c r="AD388" s="166"/>
      <c r="AE388" s="166"/>
      <c r="AF388" s="166"/>
      <c r="AG388" s="166"/>
      <c r="AH388" s="166"/>
      <c r="AI388" s="166"/>
      <c r="AJ388" s="17"/>
      <c r="AK388" s="17"/>
      <c r="AL388" s="17"/>
      <c r="AM388" s="17"/>
    </row>
    <row r="389" spans="2:39" s="2" customFormat="1">
      <c r="B389" s="2">
        <v>325</v>
      </c>
      <c r="D389" s="37"/>
      <c r="E389" s="2" t="s">
        <v>201</v>
      </c>
      <c r="K389" s="213"/>
      <c r="L389" s="213"/>
      <c r="M389" s="213"/>
      <c r="T389" s="166"/>
      <c r="U389" s="166"/>
      <c r="V389" s="166"/>
      <c r="W389" s="173"/>
      <c r="X389" s="174"/>
      <c r="Y389" s="174"/>
      <c r="Z389" s="181"/>
      <c r="AA389" s="166"/>
      <c r="AB389" s="171"/>
      <c r="AC389" s="166"/>
      <c r="AD389" s="166"/>
      <c r="AE389" s="166"/>
      <c r="AF389" s="166"/>
      <c r="AG389" s="166"/>
      <c r="AH389" s="166"/>
      <c r="AI389" s="166"/>
      <c r="AJ389" s="17"/>
      <c r="AK389" s="17"/>
      <c r="AL389" s="17"/>
      <c r="AM389" s="17"/>
    </row>
    <row r="390" spans="2:39" s="2" customFormat="1" ht="217.5">
      <c r="B390" s="2">
        <v>326</v>
      </c>
      <c r="D390" s="37" t="s">
        <v>2302</v>
      </c>
      <c r="E390" s="2" t="s">
        <v>201</v>
      </c>
      <c r="K390" s="213"/>
      <c r="L390" s="213"/>
      <c r="M390" s="213"/>
      <c r="T390" s="166" t="s">
        <v>376</v>
      </c>
      <c r="U390" s="166"/>
      <c r="V390" s="166" t="s">
        <v>2301</v>
      </c>
      <c r="W390" s="185" t="s">
        <v>2194</v>
      </c>
      <c r="X390" s="172" t="s">
        <v>701</v>
      </c>
      <c r="Y390" s="186"/>
      <c r="Z390" s="187" t="s">
        <v>22</v>
      </c>
      <c r="AA390" s="166" t="s">
        <v>2303</v>
      </c>
      <c r="AB390" s="169" t="s">
        <v>2300</v>
      </c>
      <c r="AC390" s="166"/>
      <c r="AD390" s="166"/>
      <c r="AE390" s="166"/>
      <c r="AF390" s="166"/>
      <c r="AG390" s="166"/>
      <c r="AH390" s="166"/>
      <c r="AI390" s="166"/>
      <c r="AJ390" s="17"/>
      <c r="AK390" s="17"/>
      <c r="AL390" s="17"/>
      <c r="AM390" s="17"/>
    </row>
    <row r="391" spans="2:39" s="2" customFormat="1" ht="261">
      <c r="B391" s="2">
        <v>327</v>
      </c>
      <c r="D391" s="37" t="s">
        <v>202</v>
      </c>
      <c r="E391" s="2" t="s">
        <v>118</v>
      </c>
      <c r="I391" s="2" t="s">
        <v>376</v>
      </c>
      <c r="K391" s="213" t="s">
        <v>2571</v>
      </c>
      <c r="L391" s="209" t="s">
        <v>2321</v>
      </c>
      <c r="M391" s="218" t="s">
        <v>2322</v>
      </c>
      <c r="N391" s="213" t="s">
        <v>2323</v>
      </c>
      <c r="O391" s="216" t="s">
        <v>22</v>
      </c>
      <c r="P391" s="215" t="s">
        <v>2569</v>
      </c>
      <c r="Q391" s="219" t="s">
        <v>2570</v>
      </c>
      <c r="S391" s="17"/>
      <c r="T391" s="166" t="s">
        <v>376</v>
      </c>
      <c r="U391" s="166"/>
      <c r="V391" s="166" t="s">
        <v>736</v>
      </c>
      <c r="W391" s="167" t="s">
        <v>649</v>
      </c>
      <c r="X391" s="167" t="s">
        <v>650</v>
      </c>
      <c r="Y391" s="167">
        <v>0</v>
      </c>
      <c r="Z391" s="168" t="s">
        <v>22</v>
      </c>
      <c r="AA391" s="166" t="s">
        <v>539</v>
      </c>
      <c r="AB391" s="169" t="s">
        <v>732</v>
      </c>
      <c r="AC391" s="166"/>
      <c r="AD391" s="166" t="s">
        <v>18</v>
      </c>
      <c r="AE391" s="166" t="s">
        <v>734</v>
      </c>
      <c r="AF391" s="166" t="s">
        <v>735</v>
      </c>
      <c r="AG391" s="166"/>
      <c r="AH391" s="166"/>
      <c r="AI391" s="166"/>
      <c r="AJ391" s="17"/>
      <c r="AK391" s="17"/>
      <c r="AL391" s="17"/>
      <c r="AM391" s="17"/>
    </row>
    <row r="392" spans="2:39" s="2" customFormat="1" ht="222.65" customHeight="1">
      <c r="B392" s="2">
        <v>328</v>
      </c>
      <c r="D392" s="37" t="s">
        <v>18</v>
      </c>
      <c r="E392" s="2" t="s">
        <v>118</v>
      </c>
      <c r="F392" s="2" t="s">
        <v>2107</v>
      </c>
      <c r="K392" s="213"/>
      <c r="L392" s="213"/>
      <c r="M392" s="213"/>
      <c r="T392" s="166" t="s">
        <v>376</v>
      </c>
      <c r="U392" s="166"/>
      <c r="V392" s="203" t="s">
        <v>737</v>
      </c>
      <c r="W392" s="167" t="s">
        <v>649</v>
      </c>
      <c r="X392" s="167" t="s">
        <v>650</v>
      </c>
      <c r="Y392" s="167">
        <v>0</v>
      </c>
      <c r="Z392" s="168" t="s">
        <v>22</v>
      </c>
      <c r="AA392" s="166" t="s">
        <v>539</v>
      </c>
      <c r="AB392" s="169" t="s">
        <v>732</v>
      </c>
      <c r="AC392" s="166"/>
      <c r="AD392" s="166" t="s">
        <v>2110</v>
      </c>
      <c r="AE392" s="179" t="s">
        <v>2053</v>
      </c>
      <c r="AF392" s="172" t="s">
        <v>1398</v>
      </c>
      <c r="AG392" s="178"/>
      <c r="AH392" s="168" t="s">
        <v>22</v>
      </c>
      <c r="AI392" s="166" t="s">
        <v>662</v>
      </c>
      <c r="AJ392" s="23" t="s">
        <v>2106</v>
      </c>
      <c r="AK392" s="17"/>
      <c r="AL392" s="17"/>
      <c r="AM392" s="17"/>
    </row>
    <row r="393" spans="2:39" s="2" customFormat="1" ht="61.5" customHeight="1">
      <c r="B393" s="2">
        <v>329</v>
      </c>
      <c r="D393" s="37"/>
      <c r="K393" s="213"/>
      <c r="L393" s="213"/>
      <c r="M393" s="213"/>
      <c r="T393" s="166" t="s">
        <v>376</v>
      </c>
      <c r="U393" s="166"/>
      <c r="V393" s="204" t="s">
        <v>934</v>
      </c>
      <c r="W393" s="167" t="s">
        <v>823</v>
      </c>
      <c r="X393" s="167" t="s">
        <v>664</v>
      </c>
      <c r="Y393" s="167">
        <v>0</v>
      </c>
      <c r="Z393" s="168" t="s">
        <v>22</v>
      </c>
      <c r="AA393" s="167" t="s">
        <v>559</v>
      </c>
      <c r="AB393" s="167" t="s">
        <v>929</v>
      </c>
      <c r="AC393" s="166" t="s">
        <v>935</v>
      </c>
      <c r="AD393" s="166"/>
      <c r="AE393" s="166"/>
      <c r="AF393" s="166"/>
      <c r="AG393" s="166"/>
      <c r="AH393" s="166"/>
      <c r="AI393" s="166"/>
      <c r="AJ393" s="17"/>
      <c r="AK393" s="17"/>
      <c r="AL393" s="17"/>
      <c r="AM393" s="17"/>
    </row>
    <row r="394" spans="2:39" s="2" customFormat="1" ht="61.5" customHeight="1">
      <c r="B394" s="2">
        <v>330</v>
      </c>
      <c r="D394" s="37"/>
      <c r="E394" s="2" t="s">
        <v>2115</v>
      </c>
      <c r="K394" s="213"/>
      <c r="L394" s="213"/>
      <c r="M394" s="213"/>
      <c r="T394" s="166" t="s">
        <v>376</v>
      </c>
      <c r="U394" s="166"/>
      <c r="V394" s="204" t="s">
        <v>2118</v>
      </c>
      <c r="W394" s="179" t="s">
        <v>2053</v>
      </c>
      <c r="X394" s="172" t="s">
        <v>1398</v>
      </c>
      <c r="Y394" s="178"/>
      <c r="Z394" s="168" t="s">
        <v>22</v>
      </c>
      <c r="AA394" s="166" t="s">
        <v>2116</v>
      </c>
      <c r="AB394" s="169" t="s">
        <v>2117</v>
      </c>
      <c r="AC394" s="166"/>
      <c r="AD394" s="166"/>
      <c r="AE394" s="166"/>
      <c r="AF394" s="166"/>
      <c r="AG394" s="166"/>
      <c r="AH394" s="166"/>
      <c r="AI394" s="166"/>
      <c r="AJ394" s="17"/>
      <c r="AK394" s="17"/>
      <c r="AL394" s="17"/>
      <c r="AM394" s="17"/>
    </row>
    <row r="395" spans="2:39" s="2" customFormat="1" ht="159.5">
      <c r="B395" s="2">
        <v>331</v>
      </c>
      <c r="D395" s="37"/>
      <c r="E395" s="2" t="s">
        <v>682</v>
      </c>
      <c r="K395" s="213"/>
      <c r="L395" s="213"/>
      <c r="M395" s="213"/>
      <c r="T395" s="166" t="s">
        <v>376</v>
      </c>
      <c r="U395" s="166"/>
      <c r="V395" s="166" t="s">
        <v>687</v>
      </c>
      <c r="W395" s="167" t="s">
        <v>649</v>
      </c>
      <c r="X395" s="167" t="s">
        <v>650</v>
      </c>
      <c r="Y395" s="167">
        <v>0</v>
      </c>
      <c r="Z395" s="168" t="s">
        <v>22</v>
      </c>
      <c r="AA395" s="166" t="s">
        <v>680</v>
      </c>
      <c r="AB395" s="169" t="s">
        <v>679</v>
      </c>
      <c r="AC395" s="166"/>
      <c r="AD395" s="166"/>
      <c r="AE395" s="166"/>
      <c r="AF395" s="166"/>
      <c r="AG395" s="166"/>
      <c r="AH395" s="166"/>
      <c r="AI395" s="166"/>
      <c r="AJ395" s="17"/>
      <c r="AK395" s="17"/>
      <c r="AL395" s="17"/>
      <c r="AM395" s="17"/>
    </row>
    <row r="396" spans="2:39" s="2" customFormat="1" ht="58">
      <c r="B396" s="2">
        <v>332</v>
      </c>
      <c r="D396" s="37"/>
      <c r="E396" s="2" t="s">
        <v>683</v>
      </c>
      <c r="K396" s="213"/>
      <c r="L396" s="213"/>
      <c r="M396" s="213"/>
      <c r="T396" s="166" t="s">
        <v>376</v>
      </c>
      <c r="U396" s="166"/>
      <c r="V396" s="166" t="s">
        <v>733</v>
      </c>
      <c r="W396" s="167" t="s">
        <v>649</v>
      </c>
      <c r="X396" s="167" t="s">
        <v>650</v>
      </c>
      <c r="Y396" s="167">
        <v>0</v>
      </c>
      <c r="Z396" s="168" t="s">
        <v>22</v>
      </c>
      <c r="AA396" s="166" t="s">
        <v>680</v>
      </c>
      <c r="AB396" s="169" t="s">
        <v>679</v>
      </c>
      <c r="AC396" s="166"/>
      <c r="AD396" s="166"/>
      <c r="AE396" s="166"/>
      <c r="AF396" s="166"/>
      <c r="AG396" s="166"/>
      <c r="AH396" s="166"/>
      <c r="AI396" s="166"/>
      <c r="AJ396" s="17"/>
      <c r="AK396" s="17"/>
      <c r="AL396" s="17"/>
      <c r="AM396" s="17"/>
    </row>
    <row r="397" spans="2:39" s="2" customFormat="1">
      <c r="B397" s="2">
        <v>333</v>
      </c>
      <c r="D397" s="37"/>
      <c r="E397" s="2" t="s">
        <v>368</v>
      </c>
      <c r="F397" s="2" t="s">
        <v>364</v>
      </c>
      <c r="K397" s="213"/>
      <c r="L397" s="213"/>
      <c r="M397" s="213"/>
      <c r="T397" s="166"/>
      <c r="U397" s="166"/>
      <c r="V397" s="166"/>
      <c r="W397" s="166"/>
      <c r="X397" s="166"/>
      <c r="Y397" s="166"/>
      <c r="Z397" s="170"/>
      <c r="AA397" s="166"/>
      <c r="AB397" s="171"/>
      <c r="AC397" s="166"/>
      <c r="AD397" s="166"/>
      <c r="AE397" s="166"/>
      <c r="AF397" s="166"/>
      <c r="AG397" s="166"/>
      <c r="AH397" s="166"/>
      <c r="AI397" s="166"/>
      <c r="AJ397" s="17"/>
      <c r="AK397" s="17"/>
      <c r="AL397" s="17"/>
      <c r="AM397" s="17"/>
    </row>
    <row r="398" spans="2:39" s="2" customFormat="1" ht="43.5">
      <c r="B398" s="2">
        <v>334</v>
      </c>
      <c r="D398" s="37"/>
      <c r="F398" s="2" t="s">
        <v>764</v>
      </c>
      <c r="K398" s="213"/>
      <c r="L398" s="213"/>
      <c r="M398" s="213"/>
      <c r="T398" s="166" t="s">
        <v>376</v>
      </c>
      <c r="U398" s="166"/>
      <c r="V398" s="166" t="s">
        <v>763</v>
      </c>
      <c r="W398" s="167" t="s">
        <v>649</v>
      </c>
      <c r="X398" s="167" t="s">
        <v>650</v>
      </c>
      <c r="Y398" s="167">
        <v>0</v>
      </c>
      <c r="Z398" s="168" t="s">
        <v>22</v>
      </c>
      <c r="AA398" s="166" t="s">
        <v>759</v>
      </c>
      <c r="AB398" s="169" t="s">
        <v>761</v>
      </c>
      <c r="AC398" s="166"/>
      <c r="AD398" s="166"/>
      <c r="AE398" s="166"/>
      <c r="AF398" s="166"/>
      <c r="AG398" s="166"/>
      <c r="AH398" s="166"/>
      <c r="AI398" s="166"/>
      <c r="AJ398" s="17"/>
      <c r="AK398" s="17"/>
      <c r="AL398" s="17"/>
      <c r="AM398" s="17"/>
    </row>
    <row r="399" spans="2:39" s="2" customFormat="1">
      <c r="B399" s="2">
        <v>335</v>
      </c>
      <c r="D399" s="37"/>
      <c r="E399" s="2" t="s">
        <v>365</v>
      </c>
      <c r="K399" s="213"/>
      <c r="L399" s="213"/>
      <c r="M399" s="213"/>
      <c r="T399" s="166"/>
      <c r="U399" s="166"/>
      <c r="V399" s="166"/>
      <c r="W399" s="166"/>
      <c r="X399" s="166"/>
      <c r="Y399" s="166"/>
      <c r="Z399" s="170"/>
      <c r="AA399" s="166"/>
      <c r="AB399" s="171"/>
      <c r="AC399" s="166"/>
      <c r="AD399" s="166"/>
      <c r="AE399" s="166"/>
      <c r="AF399" s="166"/>
      <c r="AG399" s="166"/>
      <c r="AH399" s="166"/>
      <c r="AI399" s="166"/>
      <c r="AJ399" s="17"/>
      <c r="AK399" s="17"/>
      <c r="AL399" s="17"/>
      <c r="AM399" s="17"/>
    </row>
    <row r="400" spans="2:39" s="2" customFormat="1" ht="181" customHeight="1">
      <c r="B400" s="2">
        <v>336</v>
      </c>
      <c r="D400" s="37"/>
      <c r="E400" s="2" t="s">
        <v>2105</v>
      </c>
      <c r="F400" s="2" t="s">
        <v>203</v>
      </c>
      <c r="K400" s="213"/>
      <c r="L400" s="213"/>
      <c r="M400" s="213"/>
      <c r="T400" s="166" t="s">
        <v>376</v>
      </c>
      <c r="U400" s="166"/>
      <c r="V400" s="166" t="s">
        <v>2144</v>
      </c>
      <c r="W400" s="179" t="s">
        <v>2053</v>
      </c>
      <c r="X400" s="172" t="s">
        <v>1398</v>
      </c>
      <c r="Y400" s="178"/>
      <c r="Z400" s="168" t="s">
        <v>22</v>
      </c>
      <c r="AA400" s="166" t="s">
        <v>2145</v>
      </c>
      <c r="AB400" s="169" t="s">
        <v>2146</v>
      </c>
      <c r="AC400" s="166"/>
      <c r="AD400" s="166"/>
      <c r="AE400" s="166"/>
      <c r="AF400" s="166"/>
      <c r="AG400" s="166"/>
      <c r="AH400" s="166"/>
      <c r="AI400" s="166"/>
      <c r="AJ400" s="17"/>
      <c r="AK400" s="17"/>
      <c r="AL400" s="17"/>
      <c r="AM400" s="17"/>
    </row>
    <row r="401" spans="2:39" s="2" customFormat="1" ht="43.5">
      <c r="B401" s="2">
        <v>337</v>
      </c>
      <c r="D401" s="37"/>
      <c r="E401" s="2" t="s">
        <v>366</v>
      </c>
      <c r="F401" s="2" t="s">
        <v>367</v>
      </c>
      <c r="K401" s="213"/>
      <c r="L401" s="213"/>
      <c r="M401" s="213"/>
      <c r="T401" s="166" t="s">
        <v>376</v>
      </c>
      <c r="U401" s="166"/>
      <c r="V401" s="166" t="s">
        <v>2120</v>
      </c>
      <c r="W401" s="179" t="s">
        <v>2053</v>
      </c>
      <c r="X401" s="172" t="s">
        <v>1398</v>
      </c>
      <c r="Y401" s="178"/>
      <c r="Z401" s="168" t="s">
        <v>22</v>
      </c>
      <c r="AA401" s="166" t="s">
        <v>1630</v>
      </c>
      <c r="AB401" s="169" t="s">
        <v>2119</v>
      </c>
      <c r="AC401" s="166"/>
      <c r="AD401" s="166"/>
      <c r="AE401" s="166"/>
      <c r="AF401" s="166"/>
      <c r="AG401" s="166"/>
      <c r="AH401" s="166"/>
      <c r="AI401" s="166"/>
      <c r="AJ401" s="17"/>
      <c r="AK401" s="17"/>
      <c r="AL401" s="17"/>
      <c r="AM401" s="17"/>
    </row>
    <row r="402" spans="2:39" s="2" customFormat="1" ht="91" customHeight="1">
      <c r="B402" s="2">
        <v>338</v>
      </c>
      <c r="D402" s="37"/>
      <c r="E402" s="2" t="s">
        <v>204</v>
      </c>
      <c r="F402" s="2" t="s">
        <v>205</v>
      </c>
      <c r="K402" s="213"/>
      <c r="L402" s="213"/>
      <c r="M402" s="213"/>
      <c r="T402" s="166" t="s">
        <v>376</v>
      </c>
      <c r="U402" s="166"/>
      <c r="V402" s="166" t="s">
        <v>2124</v>
      </c>
      <c r="W402" s="179" t="s">
        <v>2053</v>
      </c>
      <c r="X402" s="172" t="s">
        <v>1398</v>
      </c>
      <c r="Y402" s="178"/>
      <c r="Z402" s="168" t="s">
        <v>22</v>
      </c>
      <c r="AA402" s="166" t="s">
        <v>2125</v>
      </c>
      <c r="AB402" s="169" t="s">
        <v>2126</v>
      </c>
      <c r="AC402" s="166"/>
      <c r="AD402" s="166"/>
      <c r="AE402" s="166"/>
      <c r="AF402" s="166"/>
      <c r="AG402" s="166"/>
      <c r="AH402" s="166"/>
      <c r="AI402" s="166"/>
      <c r="AJ402" s="17"/>
      <c r="AK402" s="17"/>
      <c r="AL402" s="17"/>
      <c r="AM402" s="17"/>
    </row>
    <row r="403" spans="2:39" s="2" customFormat="1" ht="29">
      <c r="B403" s="2">
        <v>339</v>
      </c>
      <c r="D403" s="37"/>
      <c r="F403" s="2" t="s">
        <v>2127</v>
      </c>
      <c r="K403" s="213"/>
      <c r="L403" s="213"/>
      <c r="M403" s="213"/>
      <c r="T403" s="166" t="s">
        <v>376</v>
      </c>
      <c r="U403" s="166"/>
      <c r="V403" s="166" t="s">
        <v>2109</v>
      </c>
      <c r="W403" s="179" t="s">
        <v>2053</v>
      </c>
      <c r="X403" s="172" t="s">
        <v>1398</v>
      </c>
      <c r="Y403" s="178"/>
      <c r="Z403" s="168" t="s">
        <v>22</v>
      </c>
      <c r="AA403" s="166" t="s">
        <v>2089</v>
      </c>
      <c r="AB403" s="169" t="s">
        <v>2108</v>
      </c>
      <c r="AC403" s="166"/>
      <c r="AD403" s="166"/>
      <c r="AE403" s="166"/>
      <c r="AF403" s="166"/>
      <c r="AG403" s="166"/>
      <c r="AH403" s="166"/>
      <c r="AI403" s="166"/>
      <c r="AJ403" s="17"/>
      <c r="AK403" s="17"/>
      <c r="AL403" s="17"/>
      <c r="AM403" s="17"/>
    </row>
    <row r="404" spans="2:39" s="2" customFormat="1" ht="29">
      <c r="B404" s="2">
        <v>340</v>
      </c>
      <c r="D404" s="37"/>
      <c r="E404" s="2" t="s">
        <v>2143</v>
      </c>
      <c r="K404" s="213"/>
      <c r="L404" s="213"/>
      <c r="M404" s="213"/>
      <c r="T404" s="166" t="s">
        <v>376</v>
      </c>
      <c r="U404" s="166"/>
      <c r="V404" s="166" t="s">
        <v>2130</v>
      </c>
      <c r="W404" s="179" t="s">
        <v>2053</v>
      </c>
      <c r="X404" s="172" t="s">
        <v>1398</v>
      </c>
      <c r="Y404" s="178"/>
      <c r="Z404" s="168" t="s">
        <v>22</v>
      </c>
      <c r="AA404" s="166" t="s">
        <v>2128</v>
      </c>
      <c r="AB404" s="169" t="s">
        <v>2129</v>
      </c>
      <c r="AC404" s="166"/>
      <c r="AD404" s="166"/>
      <c r="AE404" s="166"/>
      <c r="AF404" s="166"/>
      <c r="AG404" s="166"/>
      <c r="AH404" s="166"/>
      <c r="AI404" s="166"/>
      <c r="AJ404" s="17"/>
      <c r="AK404" s="17"/>
      <c r="AL404" s="17"/>
      <c r="AM404" s="17"/>
    </row>
    <row r="405" spans="2:39" s="2" customFormat="1" ht="409.6" customHeight="1">
      <c r="B405" s="2">
        <v>341</v>
      </c>
      <c r="D405" s="37"/>
      <c r="E405" s="2" t="s">
        <v>74</v>
      </c>
      <c r="F405" s="2" t="s">
        <v>206</v>
      </c>
      <c r="G405" s="2" t="s">
        <v>207</v>
      </c>
      <c r="I405" s="18" t="s">
        <v>376</v>
      </c>
      <c r="K405" s="213" t="s">
        <v>2917</v>
      </c>
      <c r="L405" s="209" t="s">
        <v>2784</v>
      </c>
      <c r="M405" s="239" t="s">
        <v>1598</v>
      </c>
      <c r="N405" s="217"/>
      <c r="O405" s="216" t="s">
        <v>22</v>
      </c>
      <c r="P405" s="215" t="s">
        <v>2920</v>
      </c>
      <c r="Q405" s="215" t="s">
        <v>2916</v>
      </c>
      <c r="S405" s="17"/>
      <c r="T405" s="166" t="s">
        <v>376</v>
      </c>
      <c r="U405" s="166"/>
      <c r="V405" s="166" t="s">
        <v>2064</v>
      </c>
      <c r="W405" s="179" t="s">
        <v>2053</v>
      </c>
      <c r="X405" s="172" t="s">
        <v>1398</v>
      </c>
      <c r="Y405" s="178"/>
      <c r="Z405" s="168" t="s">
        <v>22</v>
      </c>
      <c r="AA405" s="166" t="s">
        <v>1349</v>
      </c>
      <c r="AB405" s="169" t="s">
        <v>2063</v>
      </c>
      <c r="AC405" s="166"/>
      <c r="AD405" s="166"/>
      <c r="AE405" s="166"/>
      <c r="AF405" s="166"/>
      <c r="AG405" s="166"/>
      <c r="AH405" s="166"/>
      <c r="AI405" s="166"/>
      <c r="AJ405" s="17"/>
      <c r="AK405" s="17"/>
      <c r="AL405" s="17"/>
      <c r="AM405" s="17"/>
    </row>
    <row r="406" spans="2:39" s="2" customFormat="1" ht="145">
      <c r="B406" s="2">
        <v>342</v>
      </c>
      <c r="D406" s="37"/>
      <c r="E406" s="2" t="s">
        <v>2065</v>
      </c>
      <c r="K406" s="213"/>
      <c r="L406" s="213"/>
      <c r="M406" s="213"/>
      <c r="T406" s="166" t="s">
        <v>376</v>
      </c>
      <c r="U406" s="166"/>
      <c r="V406" s="166" t="s">
        <v>2066</v>
      </c>
      <c r="W406" s="179" t="s">
        <v>2053</v>
      </c>
      <c r="X406" s="172" t="s">
        <v>1398</v>
      </c>
      <c r="Y406" s="178"/>
      <c r="Z406" s="168" t="s">
        <v>22</v>
      </c>
      <c r="AA406" s="166" t="s">
        <v>1349</v>
      </c>
      <c r="AB406" s="169" t="s">
        <v>2063</v>
      </c>
      <c r="AC406" s="166"/>
      <c r="AD406" s="166"/>
      <c r="AE406" s="166"/>
      <c r="AF406" s="166"/>
      <c r="AG406" s="166"/>
      <c r="AH406" s="166"/>
      <c r="AI406" s="166"/>
      <c r="AJ406" s="17"/>
      <c r="AK406" s="17"/>
      <c r="AL406" s="17"/>
      <c r="AM406" s="17"/>
    </row>
    <row r="407" spans="2:39" s="2" customFormat="1" ht="26">
      <c r="B407" s="2">
        <v>343</v>
      </c>
      <c r="D407" s="37"/>
      <c r="E407" s="2" t="s">
        <v>2077</v>
      </c>
      <c r="K407" s="213"/>
      <c r="L407" s="213"/>
      <c r="M407" s="213"/>
      <c r="T407" s="166" t="s">
        <v>376</v>
      </c>
      <c r="U407" s="166"/>
      <c r="V407" s="166" t="s">
        <v>2078</v>
      </c>
      <c r="W407" s="179" t="s">
        <v>2053</v>
      </c>
      <c r="X407" s="172" t="s">
        <v>1398</v>
      </c>
      <c r="Y407" s="178"/>
      <c r="Z407" s="168" t="s">
        <v>22</v>
      </c>
      <c r="AA407" s="166" t="s">
        <v>2079</v>
      </c>
      <c r="AB407" s="169" t="s">
        <v>2080</v>
      </c>
      <c r="AC407" s="166"/>
      <c r="AD407" s="166"/>
      <c r="AE407" s="166"/>
      <c r="AF407" s="166"/>
      <c r="AG407" s="166"/>
      <c r="AH407" s="166"/>
      <c r="AI407" s="166"/>
      <c r="AJ407" s="17"/>
      <c r="AK407" s="17"/>
      <c r="AL407" s="17"/>
      <c r="AM407" s="17"/>
    </row>
    <row r="408" spans="2:39" s="2" customFormat="1" ht="130.5">
      <c r="B408" s="2">
        <v>344</v>
      </c>
      <c r="D408" s="37"/>
      <c r="E408" s="2" t="s">
        <v>350</v>
      </c>
      <c r="I408" s="18" t="s">
        <v>376</v>
      </c>
      <c r="K408" s="213" t="s">
        <v>2922</v>
      </c>
      <c r="L408" s="209" t="s">
        <v>2784</v>
      </c>
      <c r="M408" s="239" t="s">
        <v>1598</v>
      </c>
      <c r="N408" s="217"/>
      <c r="O408" s="216" t="s">
        <v>22</v>
      </c>
      <c r="P408" s="215" t="s">
        <v>2918</v>
      </c>
      <c r="Q408" s="215" t="s">
        <v>2923</v>
      </c>
      <c r="T408" s="166" t="s">
        <v>376</v>
      </c>
      <c r="U408" s="166"/>
      <c r="V408" s="166" t="s">
        <v>2081</v>
      </c>
      <c r="W408" s="179" t="s">
        <v>2053</v>
      </c>
      <c r="X408" s="172" t="s">
        <v>1398</v>
      </c>
      <c r="Y408" s="178"/>
      <c r="Z408" s="168" t="s">
        <v>22</v>
      </c>
      <c r="AA408" s="166" t="s">
        <v>2082</v>
      </c>
      <c r="AB408" s="169" t="s">
        <v>2083</v>
      </c>
      <c r="AC408" s="166"/>
      <c r="AD408" s="166"/>
      <c r="AE408" s="166"/>
      <c r="AF408" s="166"/>
      <c r="AG408" s="166"/>
      <c r="AH408" s="166"/>
      <c r="AI408" s="166"/>
      <c r="AJ408" s="17"/>
      <c r="AK408" s="17"/>
      <c r="AL408" s="17"/>
      <c r="AM408" s="17"/>
    </row>
    <row r="409" spans="2:39" s="2" customFormat="1" ht="108" customHeight="1">
      <c r="B409" s="2">
        <v>345</v>
      </c>
      <c r="D409" s="37"/>
      <c r="E409" s="2" t="s">
        <v>2085</v>
      </c>
      <c r="K409" s="213"/>
      <c r="L409" s="213"/>
      <c r="M409" s="213"/>
      <c r="T409" s="166" t="s">
        <v>376</v>
      </c>
      <c r="U409" s="166"/>
      <c r="V409" s="166" t="s">
        <v>2086</v>
      </c>
      <c r="W409" s="179" t="s">
        <v>2053</v>
      </c>
      <c r="X409" s="172" t="s">
        <v>1398</v>
      </c>
      <c r="Y409" s="178"/>
      <c r="Z409" s="168" t="s">
        <v>22</v>
      </c>
      <c r="AA409" s="166" t="s">
        <v>2084</v>
      </c>
      <c r="AB409" s="169" t="s">
        <v>2083</v>
      </c>
      <c r="AC409" s="166"/>
      <c r="AD409" s="166"/>
      <c r="AE409" s="166"/>
      <c r="AF409" s="166"/>
      <c r="AG409" s="166"/>
      <c r="AH409" s="166"/>
      <c r="AI409" s="166"/>
      <c r="AJ409" s="17"/>
      <c r="AK409" s="17"/>
      <c r="AL409" s="17"/>
      <c r="AM409" s="17"/>
    </row>
    <row r="410" spans="2:39" s="2" customFormat="1" ht="29">
      <c r="B410" s="2">
        <v>346</v>
      </c>
      <c r="D410" s="37"/>
      <c r="E410" s="2" t="s">
        <v>2100</v>
      </c>
      <c r="F410" s="2" t="s">
        <v>2101</v>
      </c>
      <c r="K410" s="213"/>
      <c r="L410" s="213"/>
      <c r="M410" s="213"/>
      <c r="T410" s="166" t="s">
        <v>376</v>
      </c>
      <c r="U410" s="166"/>
      <c r="V410" s="166" t="s">
        <v>2102</v>
      </c>
      <c r="W410" s="179" t="s">
        <v>2053</v>
      </c>
      <c r="X410" s="172" t="s">
        <v>1398</v>
      </c>
      <c r="Y410" s="178"/>
      <c r="Z410" s="168" t="s">
        <v>22</v>
      </c>
      <c r="AA410" s="166" t="s">
        <v>2098</v>
      </c>
      <c r="AB410" s="169" t="s">
        <v>2099</v>
      </c>
      <c r="AC410" s="166"/>
      <c r="AD410" s="166"/>
      <c r="AE410" s="166"/>
      <c r="AF410" s="166"/>
      <c r="AG410" s="166"/>
      <c r="AH410" s="166"/>
      <c r="AI410" s="166"/>
      <c r="AJ410" s="17"/>
      <c r="AK410" s="17"/>
      <c r="AL410" s="17"/>
      <c r="AM410" s="17"/>
    </row>
    <row r="411" spans="2:39" s="2" customFormat="1" ht="26">
      <c r="B411" s="2">
        <v>347</v>
      </c>
      <c r="D411" s="37"/>
      <c r="E411" s="2" t="s">
        <v>2087</v>
      </c>
      <c r="K411" s="213"/>
      <c r="L411" s="213"/>
      <c r="M411" s="213"/>
      <c r="T411" s="166" t="s">
        <v>376</v>
      </c>
      <c r="U411" s="166"/>
      <c r="V411" s="166" t="s">
        <v>2088</v>
      </c>
      <c r="W411" s="179" t="s">
        <v>2053</v>
      </c>
      <c r="X411" s="172" t="s">
        <v>1398</v>
      </c>
      <c r="Y411" s="178"/>
      <c r="Z411" s="168" t="s">
        <v>22</v>
      </c>
      <c r="AA411" s="166" t="s">
        <v>2089</v>
      </c>
      <c r="AB411" s="169" t="s">
        <v>2083</v>
      </c>
      <c r="AC411" s="166"/>
      <c r="AD411" s="166"/>
      <c r="AE411" s="166"/>
      <c r="AF411" s="166"/>
      <c r="AG411" s="166"/>
      <c r="AH411" s="166"/>
      <c r="AI411" s="166"/>
      <c r="AJ411" s="17"/>
      <c r="AK411" s="17"/>
      <c r="AL411" s="17"/>
      <c r="AM411" s="17"/>
    </row>
    <row r="412" spans="2:39" s="2" customFormat="1" ht="58">
      <c r="B412" s="2">
        <v>348</v>
      </c>
      <c r="D412" s="37"/>
      <c r="E412" s="2" t="s">
        <v>208</v>
      </c>
      <c r="F412" s="2" t="s">
        <v>2575</v>
      </c>
      <c r="I412" s="2" t="s">
        <v>376</v>
      </c>
      <c r="K412" s="213" t="s">
        <v>2577</v>
      </c>
      <c r="L412" s="209" t="s">
        <v>2321</v>
      </c>
      <c r="M412" s="218" t="s">
        <v>2322</v>
      </c>
      <c r="N412" s="213" t="s">
        <v>2323</v>
      </c>
      <c r="O412" s="216" t="s">
        <v>22</v>
      </c>
      <c r="P412" s="215" t="s">
        <v>2573</v>
      </c>
      <c r="Q412" s="219" t="s">
        <v>2574</v>
      </c>
      <c r="S412" s="17"/>
      <c r="T412" s="166"/>
      <c r="U412" s="166"/>
      <c r="V412" s="166"/>
      <c r="W412" s="166"/>
      <c r="X412" s="166"/>
      <c r="Y412" s="166"/>
      <c r="Z412" s="170"/>
      <c r="AA412" s="166"/>
      <c r="AB412" s="171"/>
      <c r="AC412" s="166"/>
      <c r="AD412" s="166"/>
      <c r="AE412" s="166"/>
      <c r="AF412" s="166"/>
      <c r="AG412" s="166"/>
      <c r="AH412" s="166"/>
      <c r="AI412" s="166"/>
      <c r="AJ412" s="17"/>
      <c r="AK412" s="17"/>
      <c r="AL412" s="17"/>
      <c r="AM412" s="17"/>
    </row>
    <row r="413" spans="2:39" s="2" customFormat="1" ht="72.5">
      <c r="B413" s="2">
        <v>349</v>
      </c>
      <c r="D413" s="37"/>
      <c r="F413" s="2" t="s">
        <v>2576</v>
      </c>
      <c r="I413" s="18" t="s">
        <v>376</v>
      </c>
      <c r="K413" s="213" t="s">
        <v>3092</v>
      </c>
      <c r="L413" s="209" t="s">
        <v>2784</v>
      </c>
      <c r="M413" s="239" t="s">
        <v>1598</v>
      </c>
      <c r="N413" s="217"/>
      <c r="O413" s="216" t="s">
        <v>22</v>
      </c>
      <c r="P413" s="215" t="s">
        <v>2918</v>
      </c>
      <c r="Q413" s="215" t="s">
        <v>2919</v>
      </c>
      <c r="S413" s="17"/>
      <c r="T413" s="166"/>
      <c r="U413" s="166"/>
      <c r="V413" s="166"/>
      <c r="W413" s="166"/>
      <c r="X413" s="166"/>
      <c r="Y413" s="166"/>
      <c r="Z413" s="170"/>
      <c r="AA413" s="166"/>
      <c r="AB413" s="171"/>
      <c r="AC413" s="166"/>
      <c r="AD413" s="166"/>
      <c r="AE413" s="166"/>
      <c r="AF413" s="166"/>
      <c r="AG413" s="166"/>
      <c r="AH413" s="166"/>
      <c r="AI413" s="166"/>
      <c r="AJ413" s="17"/>
      <c r="AK413" s="17"/>
      <c r="AL413" s="17"/>
      <c r="AM413" s="17"/>
    </row>
    <row r="414" spans="2:39" s="2" customFormat="1">
      <c r="B414" s="2">
        <v>350</v>
      </c>
      <c r="D414" s="37"/>
      <c r="F414" s="2" t="s">
        <v>209</v>
      </c>
      <c r="K414" s="213"/>
      <c r="L414" s="213"/>
      <c r="M414" s="213"/>
      <c r="T414" s="166"/>
      <c r="U414" s="166"/>
      <c r="V414" s="166"/>
      <c r="W414" s="166"/>
      <c r="X414" s="166"/>
      <c r="Y414" s="166"/>
      <c r="Z414" s="166"/>
      <c r="AA414" s="166"/>
      <c r="AB414" s="166"/>
      <c r="AC414" s="166"/>
      <c r="AD414" s="166"/>
      <c r="AE414" s="166"/>
      <c r="AF414" s="166"/>
      <c r="AG414" s="166"/>
      <c r="AH414" s="166"/>
      <c r="AI414" s="166"/>
      <c r="AJ414" s="17"/>
      <c r="AK414" s="17"/>
      <c r="AL414" s="17"/>
      <c r="AM414" s="17"/>
    </row>
    <row r="415" spans="2:39" s="2" customFormat="1">
      <c r="B415" s="2">
        <v>351</v>
      </c>
      <c r="C415" s="2" t="s">
        <v>18</v>
      </c>
      <c r="D415" s="37"/>
      <c r="F415" s="2" t="s">
        <v>210</v>
      </c>
      <c r="K415" s="213"/>
      <c r="L415" s="213"/>
      <c r="M415" s="213"/>
      <c r="T415" s="166"/>
      <c r="U415" s="166"/>
      <c r="V415" s="166"/>
      <c r="W415" s="166"/>
      <c r="X415" s="166"/>
      <c r="Y415" s="166"/>
      <c r="Z415" s="166"/>
      <c r="AA415" s="166"/>
      <c r="AB415" s="166"/>
      <c r="AC415" s="166"/>
      <c r="AD415" s="166"/>
      <c r="AE415" s="166"/>
      <c r="AF415" s="166"/>
      <c r="AG415" s="166"/>
      <c r="AH415" s="166"/>
      <c r="AI415" s="166"/>
      <c r="AJ415" s="17"/>
      <c r="AK415" s="17"/>
      <c r="AL415" s="17"/>
      <c r="AM415" s="17"/>
    </row>
    <row r="416" spans="2:39" s="2" customFormat="1">
      <c r="B416" s="2">
        <v>352</v>
      </c>
      <c r="D416" s="37"/>
      <c r="F416" s="2" t="s">
        <v>211</v>
      </c>
      <c r="K416" s="213"/>
      <c r="L416" s="213"/>
      <c r="M416" s="213"/>
      <c r="T416" s="166"/>
      <c r="U416" s="166"/>
      <c r="V416" s="166"/>
      <c r="W416" s="166"/>
      <c r="X416" s="166"/>
      <c r="Y416" s="166"/>
      <c r="Z416" s="166"/>
      <c r="AA416" s="166"/>
      <c r="AB416" s="166"/>
      <c r="AC416" s="166"/>
      <c r="AD416" s="166"/>
      <c r="AE416" s="166"/>
      <c r="AF416" s="166"/>
      <c r="AG416" s="166"/>
      <c r="AH416" s="166"/>
      <c r="AI416" s="166"/>
      <c r="AJ416" s="17"/>
      <c r="AK416" s="17"/>
      <c r="AL416" s="17"/>
      <c r="AM416" s="17"/>
    </row>
    <row r="417" spans="2:39" s="2" customFormat="1" ht="87">
      <c r="B417" s="2">
        <v>353</v>
      </c>
      <c r="D417" s="37"/>
      <c r="E417" s="2" t="s">
        <v>212</v>
      </c>
      <c r="F417" s="17" t="s">
        <v>213</v>
      </c>
      <c r="K417" s="213"/>
      <c r="L417" s="213"/>
      <c r="M417" s="213"/>
      <c r="T417" s="166" t="s">
        <v>376</v>
      </c>
      <c r="U417" s="166"/>
      <c r="V417" s="166" t="s">
        <v>2111</v>
      </c>
      <c r="W417" s="179" t="s">
        <v>2053</v>
      </c>
      <c r="X417" s="172" t="s">
        <v>1398</v>
      </c>
      <c r="Y417" s="178"/>
      <c r="Z417" s="168" t="s">
        <v>22</v>
      </c>
      <c r="AA417" s="166" t="s">
        <v>662</v>
      </c>
      <c r="AB417" s="169" t="s">
        <v>2106</v>
      </c>
      <c r="AC417" s="166"/>
      <c r="AD417" s="166"/>
      <c r="AE417" s="166"/>
      <c r="AF417" s="166"/>
      <c r="AG417" s="166"/>
      <c r="AH417" s="166"/>
      <c r="AI417" s="166"/>
      <c r="AJ417" s="17"/>
      <c r="AK417" s="17"/>
      <c r="AL417" s="17"/>
      <c r="AM417" s="17"/>
    </row>
    <row r="418" spans="2:39" s="2" customFormat="1" ht="72.5">
      <c r="B418" s="2">
        <v>354</v>
      </c>
      <c r="D418" s="37"/>
      <c r="E418" s="2" t="s">
        <v>214</v>
      </c>
      <c r="F418" s="2" t="s">
        <v>215</v>
      </c>
      <c r="G418" s="2" t="s">
        <v>204</v>
      </c>
      <c r="K418" s="213"/>
      <c r="L418" s="213"/>
      <c r="M418" s="213"/>
      <c r="T418" s="166" t="s">
        <v>376</v>
      </c>
      <c r="U418" s="166"/>
      <c r="V418" s="166" t="s">
        <v>2137</v>
      </c>
      <c r="W418" s="179" t="s">
        <v>2053</v>
      </c>
      <c r="X418" s="172" t="s">
        <v>1398</v>
      </c>
      <c r="Y418" s="178"/>
      <c r="Z418" s="168" t="s">
        <v>22</v>
      </c>
      <c r="AA418" s="166" t="s">
        <v>2138</v>
      </c>
      <c r="AB418" s="169" t="s">
        <v>2139</v>
      </c>
      <c r="AC418" s="166"/>
      <c r="AD418" s="166"/>
      <c r="AE418" s="166"/>
      <c r="AF418" s="166"/>
      <c r="AG418" s="166"/>
      <c r="AH418" s="166"/>
      <c r="AI418" s="166"/>
      <c r="AJ418" s="17"/>
      <c r="AK418" s="17"/>
      <c r="AL418" s="17"/>
      <c r="AM418" s="17"/>
    </row>
    <row r="419" spans="2:39" s="2" customFormat="1" ht="43.5">
      <c r="B419" s="2">
        <v>355</v>
      </c>
      <c r="D419" s="37"/>
      <c r="E419" s="2" t="s">
        <v>2924</v>
      </c>
      <c r="I419" s="18" t="s">
        <v>376</v>
      </c>
      <c r="K419" s="213" t="s">
        <v>2927</v>
      </c>
      <c r="L419" s="209" t="s">
        <v>2784</v>
      </c>
      <c r="M419" s="239" t="s">
        <v>1598</v>
      </c>
      <c r="N419" s="217"/>
      <c r="O419" s="216" t="s">
        <v>22</v>
      </c>
      <c r="P419" s="215" t="s">
        <v>2925</v>
      </c>
      <c r="Q419" s="215" t="s">
        <v>2926</v>
      </c>
      <c r="T419" s="166" t="s">
        <v>376</v>
      </c>
      <c r="U419" s="166"/>
      <c r="V419" s="166" t="s">
        <v>2112</v>
      </c>
      <c r="W419" s="179" t="s">
        <v>2053</v>
      </c>
      <c r="X419" s="172" t="s">
        <v>1398</v>
      </c>
      <c r="Y419" s="178"/>
      <c r="Z419" s="168" t="s">
        <v>22</v>
      </c>
      <c r="AA419" s="166" t="s">
        <v>662</v>
      </c>
      <c r="AB419" s="169" t="s">
        <v>2113</v>
      </c>
      <c r="AC419" s="166"/>
      <c r="AD419" s="166"/>
      <c r="AE419" s="166"/>
      <c r="AF419" s="166"/>
      <c r="AG419" s="166"/>
      <c r="AH419" s="166"/>
      <c r="AI419" s="166"/>
      <c r="AJ419" s="17"/>
      <c r="AK419" s="17"/>
      <c r="AL419" s="17"/>
      <c r="AM419" s="17"/>
    </row>
    <row r="420" spans="2:39" s="2" customFormat="1" ht="291">
      <c r="B420" s="2">
        <v>356</v>
      </c>
      <c r="D420" s="37"/>
      <c r="E420" s="2" t="s">
        <v>216</v>
      </c>
      <c r="F420" s="2" t="s">
        <v>2930</v>
      </c>
      <c r="G420" s="2" t="s">
        <v>218</v>
      </c>
      <c r="I420" s="18" t="s">
        <v>376</v>
      </c>
      <c r="K420" s="213" t="s">
        <v>3093</v>
      </c>
      <c r="L420" s="209" t="s">
        <v>2784</v>
      </c>
      <c r="M420" s="239" t="s">
        <v>1598</v>
      </c>
      <c r="N420" s="217"/>
      <c r="O420" s="216" t="s">
        <v>22</v>
      </c>
      <c r="P420" s="215" t="s">
        <v>2928</v>
      </c>
      <c r="Q420" s="215" t="s">
        <v>2929</v>
      </c>
      <c r="S420" s="17"/>
      <c r="T420" s="166" t="s">
        <v>376</v>
      </c>
      <c r="U420" s="166"/>
      <c r="V420" s="166" t="s">
        <v>2141</v>
      </c>
      <c r="W420" s="179" t="s">
        <v>2053</v>
      </c>
      <c r="X420" s="172" t="s">
        <v>1398</v>
      </c>
      <c r="Y420" s="178"/>
      <c r="Z420" s="168" t="s">
        <v>22</v>
      </c>
      <c r="AA420" s="166" t="s">
        <v>2128</v>
      </c>
      <c r="AB420" s="169" t="s">
        <v>2142</v>
      </c>
      <c r="AC420" s="166"/>
      <c r="AD420" s="166"/>
      <c r="AE420" s="166"/>
      <c r="AF420" s="166"/>
      <c r="AG420" s="166"/>
      <c r="AH420" s="166"/>
      <c r="AI420" s="166"/>
      <c r="AJ420" s="17"/>
      <c r="AK420" s="17"/>
      <c r="AL420" s="17"/>
      <c r="AM420" s="17"/>
    </row>
    <row r="421" spans="2:39" s="2" customFormat="1" ht="29">
      <c r="B421" s="2">
        <v>357</v>
      </c>
      <c r="D421" s="37"/>
      <c r="F421" s="2" t="s">
        <v>217</v>
      </c>
      <c r="G421" s="30">
        <v>0.2</v>
      </c>
      <c r="K421" s="213"/>
      <c r="L421" s="213"/>
      <c r="M421" s="213"/>
      <c r="T421" s="166" t="s">
        <v>376</v>
      </c>
      <c r="U421" s="166"/>
      <c r="V421" s="166" t="s">
        <v>2131</v>
      </c>
      <c r="W421" s="179" t="s">
        <v>2053</v>
      </c>
      <c r="X421" s="172" t="s">
        <v>1398</v>
      </c>
      <c r="Y421" s="178"/>
      <c r="Z421" s="168" t="s">
        <v>22</v>
      </c>
      <c r="AA421" s="166" t="s">
        <v>2128</v>
      </c>
      <c r="AB421" s="169" t="s">
        <v>2132</v>
      </c>
      <c r="AC421" s="166"/>
      <c r="AD421" s="166"/>
      <c r="AE421" s="166"/>
      <c r="AF421" s="166"/>
      <c r="AG421" s="166"/>
      <c r="AH421" s="166"/>
      <c r="AI421" s="166"/>
      <c r="AJ421" s="17"/>
      <c r="AK421" s="17"/>
      <c r="AL421" s="17"/>
      <c r="AM421" s="17"/>
    </row>
    <row r="422" spans="2:39" s="2" customFormat="1">
      <c r="B422" s="2">
        <v>358</v>
      </c>
      <c r="D422" s="37"/>
      <c r="F422" s="2" t="s">
        <v>134</v>
      </c>
      <c r="G422" s="2" t="s">
        <v>219</v>
      </c>
      <c r="K422" s="213"/>
      <c r="L422" s="213"/>
      <c r="M422" s="213"/>
      <c r="T422" s="166"/>
      <c r="U422" s="166"/>
      <c r="V422" s="166"/>
      <c r="W422" s="166"/>
      <c r="X422" s="166"/>
      <c r="Y422" s="166"/>
      <c r="Z422" s="166"/>
      <c r="AA422" s="166"/>
      <c r="AB422" s="166"/>
      <c r="AC422" s="166"/>
      <c r="AD422" s="166"/>
      <c r="AE422" s="166"/>
      <c r="AF422" s="166"/>
      <c r="AG422" s="166"/>
      <c r="AH422" s="166"/>
      <c r="AI422" s="166"/>
      <c r="AJ422" s="17"/>
      <c r="AK422" s="17"/>
      <c r="AL422" s="17"/>
      <c r="AM422" s="17"/>
    </row>
    <row r="423" spans="2:39" s="2" customFormat="1" ht="29">
      <c r="B423" s="2">
        <v>359</v>
      </c>
      <c r="D423" s="37"/>
      <c r="F423" s="2" t="s">
        <v>220</v>
      </c>
      <c r="G423" s="2" t="s">
        <v>221</v>
      </c>
      <c r="K423" s="213"/>
      <c r="L423" s="213"/>
      <c r="M423" s="213"/>
      <c r="T423" s="166"/>
      <c r="U423" s="166"/>
      <c r="V423" s="166"/>
      <c r="W423" s="166"/>
      <c r="X423" s="166"/>
      <c r="Y423" s="166"/>
      <c r="Z423" s="166"/>
      <c r="AA423" s="166"/>
      <c r="AB423" s="166"/>
      <c r="AC423" s="166"/>
      <c r="AD423" s="166"/>
      <c r="AE423" s="166"/>
      <c r="AF423" s="166"/>
      <c r="AG423" s="166"/>
      <c r="AH423" s="166"/>
      <c r="AI423" s="166"/>
      <c r="AJ423" s="17"/>
      <c r="AK423" s="17"/>
      <c r="AL423" s="17"/>
      <c r="AM423" s="17"/>
    </row>
    <row r="424" spans="2:39" s="2" customFormat="1" ht="87">
      <c r="B424" s="2">
        <v>360</v>
      </c>
      <c r="D424" s="37"/>
      <c r="E424" s="2" t="s">
        <v>222</v>
      </c>
      <c r="F424" s="2" t="s">
        <v>223</v>
      </c>
      <c r="K424" s="213"/>
      <c r="L424" s="213"/>
      <c r="M424" s="213"/>
      <c r="T424" s="166" t="s">
        <v>376</v>
      </c>
      <c r="U424" s="166"/>
      <c r="V424" s="166" t="s">
        <v>2140</v>
      </c>
      <c r="W424" s="179" t="s">
        <v>2053</v>
      </c>
      <c r="X424" s="172" t="s">
        <v>1398</v>
      </c>
      <c r="Y424" s="178"/>
      <c r="Z424" s="168" t="s">
        <v>22</v>
      </c>
      <c r="AA424" s="166" t="s">
        <v>2133</v>
      </c>
      <c r="AB424" s="169" t="s">
        <v>2134</v>
      </c>
      <c r="AC424" s="166"/>
      <c r="AD424" s="166"/>
      <c r="AE424" s="166"/>
      <c r="AF424" s="166"/>
      <c r="AG424" s="166"/>
      <c r="AH424" s="166"/>
      <c r="AI424" s="166"/>
      <c r="AJ424" s="17"/>
      <c r="AK424" s="17"/>
      <c r="AL424" s="17"/>
      <c r="AM424" s="17"/>
    </row>
    <row r="425" spans="2:39" s="2" customFormat="1" ht="121.5" customHeight="1">
      <c r="B425" s="2">
        <v>361</v>
      </c>
      <c r="D425" s="37"/>
      <c r="E425" s="2" t="s">
        <v>224</v>
      </c>
      <c r="F425" s="2" t="s">
        <v>225</v>
      </c>
      <c r="K425" s="213"/>
      <c r="L425" s="213"/>
      <c r="M425" s="213"/>
      <c r="T425" s="166" t="s">
        <v>376</v>
      </c>
      <c r="U425" s="166"/>
      <c r="V425" s="166" t="s">
        <v>2095</v>
      </c>
      <c r="W425" s="179" t="s">
        <v>2053</v>
      </c>
      <c r="X425" s="172" t="s">
        <v>1398</v>
      </c>
      <c r="Y425" s="178"/>
      <c r="Z425" s="168" t="s">
        <v>22</v>
      </c>
      <c r="AA425" s="166" t="s">
        <v>2136</v>
      </c>
      <c r="AB425" s="169" t="s">
        <v>2135</v>
      </c>
      <c r="AC425" s="166"/>
      <c r="AD425" s="166"/>
      <c r="AE425" s="166"/>
      <c r="AF425" s="166"/>
      <c r="AG425" s="166"/>
      <c r="AH425" s="166"/>
      <c r="AI425" s="166"/>
      <c r="AJ425" s="17"/>
      <c r="AK425" s="17"/>
      <c r="AL425" s="17"/>
      <c r="AM425" s="17"/>
    </row>
    <row r="426" spans="2:39" s="2" customFormat="1" ht="50.15" customHeight="1">
      <c r="B426" s="2">
        <v>362</v>
      </c>
      <c r="D426" s="37"/>
      <c r="E426" s="2" t="s">
        <v>2094</v>
      </c>
      <c r="K426" s="213"/>
      <c r="L426" s="213"/>
      <c r="M426" s="213"/>
      <c r="T426" s="166" t="s">
        <v>376</v>
      </c>
      <c r="U426" s="166"/>
      <c r="V426" s="166" t="s">
        <v>2092</v>
      </c>
      <c r="W426" s="179" t="s">
        <v>2053</v>
      </c>
      <c r="X426" s="172" t="s">
        <v>1398</v>
      </c>
      <c r="Y426" s="178"/>
      <c r="Z426" s="168" t="s">
        <v>22</v>
      </c>
      <c r="AA426" s="166" t="s">
        <v>2090</v>
      </c>
      <c r="AB426" s="169" t="s">
        <v>2091</v>
      </c>
      <c r="AC426" s="166"/>
      <c r="AD426" s="166"/>
      <c r="AE426" s="166"/>
      <c r="AF426" s="166"/>
      <c r="AG426" s="166"/>
      <c r="AH426" s="166"/>
      <c r="AI426" s="166"/>
      <c r="AJ426" s="17"/>
      <c r="AK426" s="17"/>
      <c r="AL426" s="17"/>
      <c r="AM426" s="17"/>
    </row>
    <row r="427" spans="2:39" s="2" customFormat="1" ht="29">
      <c r="B427" s="2">
        <v>363</v>
      </c>
      <c r="D427" s="37"/>
      <c r="E427" s="2" t="s">
        <v>226</v>
      </c>
      <c r="K427" s="213"/>
      <c r="L427" s="213"/>
      <c r="M427" s="213"/>
      <c r="T427" s="166"/>
      <c r="U427" s="166"/>
      <c r="V427" s="166"/>
      <c r="W427" s="166"/>
      <c r="X427" s="166"/>
      <c r="Y427" s="166"/>
      <c r="Z427" s="166"/>
      <c r="AA427" s="166"/>
      <c r="AB427" s="166"/>
      <c r="AC427" s="166"/>
      <c r="AD427" s="166"/>
      <c r="AE427" s="166"/>
      <c r="AF427" s="166"/>
      <c r="AG427" s="166"/>
      <c r="AH427" s="166"/>
      <c r="AI427" s="166"/>
      <c r="AJ427" s="17"/>
      <c r="AK427" s="17"/>
      <c r="AL427" s="17"/>
      <c r="AM427" s="17"/>
    </row>
    <row r="428" spans="2:39" s="2" customFormat="1" ht="202.5" customHeight="1">
      <c r="B428" s="2">
        <v>364</v>
      </c>
      <c r="D428" s="37"/>
      <c r="E428" s="2" t="s">
        <v>2096</v>
      </c>
      <c r="F428" s="2" t="s">
        <v>227</v>
      </c>
      <c r="G428" s="2" t="s">
        <v>2097</v>
      </c>
      <c r="K428" s="213"/>
      <c r="L428" s="213"/>
      <c r="M428" s="213"/>
      <c r="T428" s="166" t="s">
        <v>376</v>
      </c>
      <c r="U428" s="166"/>
      <c r="V428" s="166" t="s">
        <v>2123</v>
      </c>
      <c r="W428" s="179" t="s">
        <v>2053</v>
      </c>
      <c r="X428" s="172" t="s">
        <v>1398</v>
      </c>
      <c r="Y428" s="178"/>
      <c r="Z428" s="168" t="s">
        <v>22</v>
      </c>
      <c r="AA428" s="166" t="s">
        <v>2121</v>
      </c>
      <c r="AB428" s="169" t="s">
        <v>2122</v>
      </c>
      <c r="AC428" s="166"/>
      <c r="AD428" s="166"/>
      <c r="AE428" s="166"/>
      <c r="AF428" s="166"/>
      <c r="AG428" s="166"/>
      <c r="AH428" s="166"/>
      <c r="AI428" s="166"/>
      <c r="AJ428" s="17"/>
      <c r="AK428" s="17"/>
      <c r="AL428" s="17"/>
      <c r="AM428" s="17"/>
    </row>
    <row r="429" spans="2:39" s="2" customFormat="1" ht="84.65" customHeight="1">
      <c r="B429" s="2">
        <v>365</v>
      </c>
      <c r="D429" s="37"/>
      <c r="E429" s="2" t="s">
        <v>2147</v>
      </c>
      <c r="I429" s="18" t="s">
        <v>376</v>
      </c>
      <c r="K429" s="213" t="s">
        <v>3126</v>
      </c>
      <c r="L429" s="209" t="s">
        <v>2784</v>
      </c>
      <c r="M429" s="239" t="s">
        <v>1598</v>
      </c>
      <c r="N429" s="217"/>
      <c r="O429" s="216" t="s">
        <v>22</v>
      </c>
      <c r="P429" s="215" t="s">
        <v>2920</v>
      </c>
      <c r="Q429" s="215" t="s">
        <v>2921</v>
      </c>
      <c r="S429" s="2" t="s">
        <v>3127</v>
      </c>
      <c r="T429" s="166" t="s">
        <v>376</v>
      </c>
      <c r="U429" s="166"/>
      <c r="V429" s="166" t="s">
        <v>2150</v>
      </c>
      <c r="W429" s="179" t="s">
        <v>2053</v>
      </c>
      <c r="X429" s="172" t="s">
        <v>1398</v>
      </c>
      <c r="Y429" s="178"/>
      <c r="Z429" s="168" t="s">
        <v>22</v>
      </c>
      <c r="AA429" s="166" t="s">
        <v>2148</v>
      </c>
      <c r="AB429" s="169" t="s">
        <v>2149</v>
      </c>
      <c r="AC429" s="166"/>
      <c r="AD429" s="166"/>
      <c r="AE429" s="166"/>
      <c r="AF429" s="166"/>
      <c r="AG429" s="166"/>
      <c r="AH429" s="166"/>
      <c r="AI429" s="166"/>
      <c r="AJ429" s="17"/>
      <c r="AK429" s="17"/>
      <c r="AL429" s="17"/>
      <c r="AM429" s="17"/>
    </row>
    <row r="430" spans="2:39" s="2" customFormat="1">
      <c r="B430" s="2">
        <v>366</v>
      </c>
      <c r="D430" s="37"/>
      <c r="E430" s="2" t="s">
        <v>228</v>
      </c>
      <c r="F430" s="2" t="s">
        <v>229</v>
      </c>
      <c r="K430" s="213"/>
      <c r="L430" s="213"/>
      <c r="M430" s="213"/>
      <c r="T430" s="166"/>
      <c r="U430" s="166"/>
      <c r="V430" s="166"/>
      <c r="W430" s="166"/>
      <c r="X430" s="166"/>
      <c r="Y430" s="166"/>
      <c r="Z430" s="170"/>
      <c r="AA430" s="166"/>
      <c r="AB430" s="171"/>
      <c r="AC430" s="166"/>
      <c r="AD430" s="166"/>
      <c r="AE430" s="166"/>
      <c r="AF430" s="166"/>
      <c r="AG430" s="166"/>
      <c r="AH430" s="166"/>
      <c r="AI430" s="166"/>
      <c r="AJ430" s="17"/>
      <c r="AK430" s="17"/>
      <c r="AL430" s="17"/>
      <c r="AM430" s="17"/>
    </row>
    <row r="431" spans="2:39" s="2" customFormat="1">
      <c r="B431" s="2">
        <v>367</v>
      </c>
      <c r="D431" s="37"/>
      <c r="E431" s="38" t="s">
        <v>230</v>
      </c>
      <c r="F431" s="38" t="s">
        <v>231</v>
      </c>
      <c r="K431" s="213"/>
      <c r="L431" s="213"/>
      <c r="M431" s="213"/>
      <c r="T431" s="166"/>
      <c r="U431" s="166"/>
      <c r="V431" s="166"/>
      <c r="W431" s="173"/>
      <c r="X431" s="174"/>
      <c r="Y431" s="174"/>
      <c r="Z431" s="181"/>
      <c r="AA431" s="166"/>
      <c r="AB431" s="171"/>
      <c r="AC431" s="166"/>
      <c r="AD431" s="166"/>
      <c r="AE431" s="166"/>
      <c r="AF431" s="166"/>
      <c r="AG431" s="166"/>
      <c r="AH431" s="166"/>
      <c r="AI431" s="166"/>
      <c r="AJ431" s="17"/>
      <c r="AK431" s="17"/>
      <c r="AL431" s="17"/>
      <c r="AM431" s="17"/>
    </row>
    <row r="432" spans="2:39" s="2" customFormat="1">
      <c r="B432" s="2">
        <v>368</v>
      </c>
      <c r="D432" s="37" t="s">
        <v>232</v>
      </c>
      <c r="E432" s="2" t="s">
        <v>118</v>
      </c>
      <c r="K432" s="213"/>
      <c r="L432" s="213"/>
      <c r="M432" s="213"/>
      <c r="T432" s="166"/>
      <c r="U432" s="166"/>
      <c r="V432" s="166"/>
      <c r="W432" s="166"/>
      <c r="X432" s="166"/>
      <c r="Y432" s="166"/>
      <c r="Z432" s="166"/>
      <c r="AA432" s="166"/>
      <c r="AB432" s="166"/>
      <c r="AC432" s="166"/>
      <c r="AD432" s="166"/>
      <c r="AE432" s="166"/>
      <c r="AF432" s="166"/>
      <c r="AG432" s="166"/>
      <c r="AH432" s="166"/>
      <c r="AI432" s="166"/>
      <c r="AJ432" s="17"/>
      <c r="AK432" s="17"/>
      <c r="AL432" s="17"/>
      <c r="AM432" s="17"/>
    </row>
    <row r="433" spans="2:39" s="2" customFormat="1">
      <c r="B433" s="2">
        <v>369</v>
      </c>
      <c r="D433" s="37"/>
      <c r="K433" s="213"/>
      <c r="L433" s="213"/>
      <c r="M433" s="213"/>
      <c r="T433" s="166"/>
      <c r="U433" s="166"/>
      <c r="V433" s="166"/>
      <c r="W433" s="166"/>
      <c r="X433" s="166"/>
      <c r="Y433" s="166"/>
      <c r="Z433" s="166"/>
      <c r="AA433" s="166"/>
      <c r="AB433" s="166"/>
      <c r="AC433" s="166"/>
      <c r="AD433" s="166"/>
      <c r="AE433" s="166"/>
      <c r="AF433" s="166"/>
      <c r="AG433" s="166"/>
      <c r="AH433" s="166"/>
      <c r="AI433" s="166"/>
      <c r="AJ433" s="17"/>
      <c r="AK433" s="17"/>
      <c r="AL433" s="17"/>
      <c r="AM433" s="17"/>
    </row>
    <row r="434" spans="2:39" s="2" customFormat="1" ht="358.5" customHeight="1">
      <c r="B434" s="2">
        <v>370</v>
      </c>
      <c r="D434" s="37" t="s">
        <v>243</v>
      </c>
      <c r="E434" s="2" t="s">
        <v>118</v>
      </c>
      <c r="I434" s="2" t="s">
        <v>376</v>
      </c>
      <c r="K434" s="213" t="s">
        <v>2580</v>
      </c>
      <c r="L434" s="209" t="s">
        <v>2321</v>
      </c>
      <c r="M434" s="218" t="s">
        <v>2322</v>
      </c>
      <c r="N434" s="213" t="s">
        <v>2323</v>
      </c>
      <c r="O434" s="216" t="s">
        <v>22</v>
      </c>
      <c r="P434" s="215" t="s">
        <v>2578</v>
      </c>
      <c r="Q434" s="219" t="s">
        <v>2579</v>
      </c>
      <c r="T434" s="166" t="s">
        <v>376</v>
      </c>
      <c r="U434" s="166"/>
      <c r="V434" s="166" t="s">
        <v>720</v>
      </c>
      <c r="W434" s="167" t="s">
        <v>649</v>
      </c>
      <c r="X434" s="167" t="s">
        <v>650</v>
      </c>
      <c r="Y434" s="167">
        <v>0</v>
      </c>
      <c r="Z434" s="168" t="s">
        <v>22</v>
      </c>
      <c r="AA434" s="166" t="s">
        <v>432</v>
      </c>
      <c r="AB434" s="169" t="s">
        <v>601</v>
      </c>
      <c r="AC434" s="166"/>
      <c r="AD434" s="166" t="s">
        <v>2191</v>
      </c>
      <c r="AE434" s="166" t="s">
        <v>723</v>
      </c>
      <c r="AF434" s="172" t="s">
        <v>724</v>
      </c>
      <c r="AG434" s="178"/>
      <c r="AH434" s="188" t="s">
        <v>22</v>
      </c>
      <c r="AI434" s="166" t="s">
        <v>619</v>
      </c>
      <c r="AJ434" s="23" t="s">
        <v>1109</v>
      </c>
      <c r="AK434" s="17"/>
      <c r="AL434" s="17"/>
    </row>
    <row r="435" spans="2:39" s="2" customFormat="1" ht="43.5">
      <c r="B435" s="2">
        <v>371</v>
      </c>
      <c r="D435" s="37"/>
      <c r="K435" s="213"/>
      <c r="L435" s="213"/>
      <c r="M435" s="213"/>
      <c r="T435" s="166" t="s">
        <v>376</v>
      </c>
      <c r="U435" s="166"/>
      <c r="V435" s="166" t="s">
        <v>725</v>
      </c>
      <c r="W435" s="167" t="s">
        <v>649</v>
      </c>
      <c r="X435" s="167" t="s">
        <v>650</v>
      </c>
      <c r="Y435" s="167">
        <v>0</v>
      </c>
      <c r="Z435" s="168" t="s">
        <v>22</v>
      </c>
      <c r="AA435" s="166" t="s">
        <v>432</v>
      </c>
      <c r="AB435" s="169" t="s">
        <v>601</v>
      </c>
      <c r="AC435" s="166"/>
      <c r="AD435" s="166"/>
      <c r="AE435" s="166" t="s">
        <v>721</v>
      </c>
      <c r="AF435" s="166" t="s">
        <v>722</v>
      </c>
      <c r="AG435" s="166"/>
      <c r="AH435" s="166"/>
      <c r="AI435" s="166"/>
      <c r="AJ435" s="17"/>
      <c r="AK435" s="17"/>
      <c r="AL435" s="17"/>
      <c r="AM435" s="17"/>
    </row>
    <row r="436" spans="2:39" s="2" customFormat="1" ht="72.5">
      <c r="B436" s="2">
        <v>372</v>
      </c>
      <c r="D436" s="37"/>
      <c r="E436" s="2" t="s">
        <v>244</v>
      </c>
      <c r="F436" s="2" t="s">
        <v>245</v>
      </c>
      <c r="K436" s="213"/>
      <c r="L436" s="213"/>
      <c r="M436" s="213"/>
      <c r="T436" s="166" t="s">
        <v>376</v>
      </c>
      <c r="U436" s="166"/>
      <c r="V436" s="166" t="s">
        <v>2189</v>
      </c>
      <c r="W436" s="185" t="s">
        <v>2177</v>
      </c>
      <c r="X436" s="172" t="s">
        <v>724</v>
      </c>
      <c r="Y436" s="186"/>
      <c r="Z436" s="187" t="s">
        <v>22</v>
      </c>
      <c r="AA436" s="166" t="s">
        <v>950</v>
      </c>
      <c r="AB436" s="169" t="s">
        <v>2190</v>
      </c>
      <c r="AC436" s="166"/>
      <c r="AD436" s="166"/>
      <c r="AE436" s="166"/>
      <c r="AF436" s="166"/>
      <c r="AG436" s="166"/>
      <c r="AH436" s="166"/>
      <c r="AI436" s="166"/>
      <c r="AJ436" s="17"/>
      <c r="AK436" s="17"/>
      <c r="AL436" s="17"/>
      <c r="AM436" s="17"/>
    </row>
    <row r="437" spans="2:39" s="2" customFormat="1" ht="219.65" customHeight="1">
      <c r="B437" s="2">
        <v>373</v>
      </c>
      <c r="D437" s="37"/>
      <c r="E437" s="2" t="s">
        <v>246</v>
      </c>
      <c r="F437" s="2" t="s">
        <v>247</v>
      </c>
      <c r="K437" s="213"/>
      <c r="L437" s="213"/>
      <c r="M437" s="213"/>
      <c r="T437" s="166" t="s">
        <v>376</v>
      </c>
      <c r="U437" s="166"/>
      <c r="V437" s="166" t="s">
        <v>2175</v>
      </c>
      <c r="W437" s="185" t="s">
        <v>2177</v>
      </c>
      <c r="X437" s="172" t="s">
        <v>724</v>
      </c>
      <c r="Y437" s="186"/>
      <c r="Z437" s="187" t="s">
        <v>22</v>
      </c>
      <c r="AA437" s="166" t="s">
        <v>595</v>
      </c>
      <c r="AB437" s="169" t="s">
        <v>1083</v>
      </c>
      <c r="AC437" s="166"/>
      <c r="AD437" s="166"/>
      <c r="AE437" s="166"/>
      <c r="AF437" s="166"/>
      <c r="AG437" s="166"/>
      <c r="AH437" s="166"/>
      <c r="AI437" s="166"/>
      <c r="AJ437" s="17"/>
      <c r="AK437" s="17"/>
      <c r="AL437" s="17"/>
      <c r="AM437" s="17"/>
    </row>
    <row r="438" spans="2:39" s="2" customFormat="1" ht="74.5" customHeight="1">
      <c r="B438" s="2">
        <v>374</v>
      </c>
      <c r="D438" s="37"/>
      <c r="E438" s="2" t="s">
        <v>369</v>
      </c>
      <c r="K438" s="213"/>
      <c r="L438" s="213"/>
      <c r="M438" s="213"/>
      <c r="T438" s="166" t="s">
        <v>376</v>
      </c>
      <c r="U438" s="166"/>
      <c r="V438" s="166" t="s">
        <v>726</v>
      </c>
      <c r="W438" s="167" t="s">
        <v>649</v>
      </c>
      <c r="X438" s="167" t="s">
        <v>650</v>
      </c>
      <c r="Y438" s="167">
        <v>0</v>
      </c>
      <c r="Z438" s="168" t="s">
        <v>22</v>
      </c>
      <c r="AA438" s="166" t="s">
        <v>432</v>
      </c>
      <c r="AB438" s="169" t="s">
        <v>601</v>
      </c>
      <c r="AC438" s="166"/>
      <c r="AD438" s="166"/>
      <c r="AE438" s="166" t="s">
        <v>727</v>
      </c>
      <c r="AF438" s="166" t="s">
        <v>728</v>
      </c>
      <c r="AG438" s="166"/>
      <c r="AH438" s="166"/>
      <c r="AI438" s="166"/>
      <c r="AJ438" s="17"/>
      <c r="AK438" s="17"/>
      <c r="AL438" s="17"/>
      <c r="AM438" s="17"/>
    </row>
    <row r="439" spans="2:39" s="2" customFormat="1" ht="29">
      <c r="B439" s="2">
        <v>375</v>
      </c>
      <c r="D439" s="37"/>
      <c r="E439" s="2" t="s">
        <v>729</v>
      </c>
      <c r="K439" s="213"/>
      <c r="L439" s="213"/>
      <c r="M439" s="213"/>
      <c r="T439" s="166" t="s">
        <v>376</v>
      </c>
      <c r="U439" s="166"/>
      <c r="V439" s="166" t="s">
        <v>1366</v>
      </c>
      <c r="W439" s="167" t="s">
        <v>649</v>
      </c>
      <c r="X439" s="167" t="s">
        <v>650</v>
      </c>
      <c r="Y439" s="167">
        <v>0</v>
      </c>
      <c r="Z439" s="168" t="s">
        <v>22</v>
      </c>
      <c r="AA439" s="166" t="s">
        <v>432</v>
      </c>
      <c r="AB439" s="169" t="s">
        <v>601</v>
      </c>
      <c r="AC439" s="166"/>
      <c r="AD439" s="166"/>
      <c r="AE439" s="166" t="s">
        <v>730</v>
      </c>
      <c r="AF439" s="166" t="s">
        <v>731</v>
      </c>
      <c r="AG439" s="166"/>
      <c r="AH439" s="166"/>
      <c r="AI439" s="166"/>
      <c r="AJ439" s="17"/>
      <c r="AK439" s="17"/>
      <c r="AL439" s="17"/>
      <c r="AM439" s="17"/>
    </row>
    <row r="440" spans="2:39" s="2" customFormat="1" ht="43.5">
      <c r="B440" s="2">
        <v>376</v>
      </c>
      <c r="D440" s="37"/>
      <c r="K440" s="213"/>
      <c r="L440" s="213"/>
      <c r="M440" s="213"/>
      <c r="T440" s="166" t="s">
        <v>376</v>
      </c>
      <c r="U440" s="166"/>
      <c r="V440" s="166" t="s">
        <v>933</v>
      </c>
      <c r="W440" s="167" t="s">
        <v>823</v>
      </c>
      <c r="X440" s="167" t="s">
        <v>664</v>
      </c>
      <c r="Y440" s="167">
        <v>0</v>
      </c>
      <c r="Z440" s="168" t="s">
        <v>22</v>
      </c>
      <c r="AA440" s="167" t="s">
        <v>554</v>
      </c>
      <c r="AB440" s="167" t="s">
        <v>929</v>
      </c>
      <c r="AC440" s="166" t="s">
        <v>930</v>
      </c>
      <c r="AD440" s="166" t="s">
        <v>2192</v>
      </c>
      <c r="AE440" s="166" t="s">
        <v>723</v>
      </c>
      <c r="AF440" s="166" t="s">
        <v>724</v>
      </c>
      <c r="AG440" s="166"/>
      <c r="AH440" s="188" t="s">
        <v>22</v>
      </c>
      <c r="AI440" s="171" t="s">
        <v>1598</v>
      </c>
      <c r="AJ440" s="27" t="s">
        <v>1598</v>
      </c>
      <c r="AK440" s="17"/>
      <c r="AL440" s="17"/>
      <c r="AM440" s="17"/>
    </row>
    <row r="441" spans="2:39" s="2" customFormat="1" ht="29">
      <c r="B441" s="2">
        <v>377</v>
      </c>
      <c r="D441" s="37"/>
      <c r="E441" s="2" t="s">
        <v>370</v>
      </c>
      <c r="F441" s="2" t="s">
        <v>371</v>
      </c>
      <c r="K441" s="213"/>
      <c r="L441" s="213"/>
      <c r="M441" s="213"/>
      <c r="T441" s="166" t="s">
        <v>376</v>
      </c>
      <c r="U441" s="166"/>
      <c r="V441" s="166" t="s">
        <v>2176</v>
      </c>
      <c r="W441" s="185" t="s">
        <v>2177</v>
      </c>
      <c r="X441" s="172" t="s">
        <v>724</v>
      </c>
      <c r="Y441" s="178"/>
      <c r="Z441" s="188" t="s">
        <v>22</v>
      </c>
      <c r="AA441" s="166" t="s">
        <v>595</v>
      </c>
      <c r="AB441" s="169" t="s">
        <v>1083</v>
      </c>
      <c r="AC441" s="166"/>
      <c r="AD441" s="166"/>
      <c r="AE441" s="166"/>
      <c r="AF441" s="166"/>
      <c r="AG441" s="166"/>
      <c r="AH441" s="166"/>
      <c r="AI441" s="166"/>
      <c r="AJ441" s="17"/>
      <c r="AK441" s="17"/>
      <c r="AL441" s="17"/>
      <c r="AM441" s="17"/>
    </row>
    <row r="442" spans="2:39" s="2" customFormat="1">
      <c r="B442" s="2">
        <v>378</v>
      </c>
      <c r="D442" s="37"/>
      <c r="F442" s="2" t="s">
        <v>372</v>
      </c>
      <c r="K442" s="213"/>
      <c r="L442" s="213"/>
      <c r="M442" s="213"/>
      <c r="T442" s="166"/>
      <c r="U442" s="166"/>
      <c r="V442" s="166"/>
      <c r="W442" s="166"/>
      <c r="X442" s="166"/>
      <c r="Y442" s="166"/>
      <c r="Z442" s="170"/>
      <c r="AA442" s="166"/>
      <c r="AB442" s="171"/>
      <c r="AC442" s="166"/>
      <c r="AD442" s="166"/>
      <c r="AE442" s="166"/>
      <c r="AF442" s="166"/>
      <c r="AG442" s="166"/>
      <c r="AH442" s="166"/>
      <c r="AI442" s="166"/>
      <c r="AJ442" s="17"/>
      <c r="AK442" s="17"/>
      <c r="AL442" s="17"/>
      <c r="AM442" s="17"/>
    </row>
    <row r="443" spans="2:39" s="2" customFormat="1" ht="29">
      <c r="B443" s="2">
        <v>379</v>
      </c>
      <c r="D443" s="37"/>
      <c r="F443" s="2" t="s">
        <v>373</v>
      </c>
      <c r="K443" s="213"/>
      <c r="L443" s="213"/>
      <c r="M443" s="213"/>
      <c r="T443" s="166"/>
      <c r="U443" s="166"/>
      <c r="V443" s="166"/>
      <c r="W443" s="166"/>
      <c r="X443" s="166"/>
      <c r="Y443" s="166"/>
      <c r="Z443" s="170"/>
      <c r="AA443" s="166"/>
      <c r="AB443" s="171"/>
      <c r="AC443" s="166"/>
      <c r="AD443" s="166"/>
      <c r="AE443" s="166"/>
      <c r="AF443" s="166"/>
      <c r="AG443" s="166"/>
      <c r="AH443" s="166"/>
      <c r="AI443" s="166"/>
      <c r="AJ443" s="17"/>
      <c r="AK443" s="17"/>
      <c r="AL443" s="17"/>
      <c r="AM443" s="17"/>
    </row>
    <row r="444" spans="2:39" s="2" customFormat="1">
      <c r="B444" s="2">
        <v>380</v>
      </c>
      <c r="D444" s="37"/>
      <c r="F444" s="2" t="s">
        <v>374</v>
      </c>
      <c r="K444" s="213"/>
      <c r="L444" s="213"/>
      <c r="M444" s="213"/>
      <c r="T444" s="166" t="s">
        <v>376</v>
      </c>
      <c r="U444" s="166"/>
      <c r="V444" s="166" t="s">
        <v>1772</v>
      </c>
      <c r="W444" s="166"/>
      <c r="X444" s="166"/>
      <c r="Y444" s="166"/>
      <c r="Z444" s="170"/>
      <c r="AA444" s="166"/>
      <c r="AB444" s="171"/>
      <c r="AC444" s="166"/>
      <c r="AD444" s="166"/>
      <c r="AE444" s="166"/>
      <c r="AF444" s="166"/>
      <c r="AG444" s="166"/>
      <c r="AH444" s="166"/>
      <c r="AI444" s="166"/>
      <c r="AJ444" s="17"/>
      <c r="AK444" s="17"/>
      <c r="AL444" s="17"/>
      <c r="AM444" s="17"/>
    </row>
    <row r="445" spans="2:39" s="2" customFormat="1" ht="58">
      <c r="B445" s="2">
        <v>381</v>
      </c>
      <c r="D445" s="37"/>
      <c r="E445" s="2" t="s">
        <v>248</v>
      </c>
      <c r="I445" s="2" t="s">
        <v>376</v>
      </c>
      <c r="K445" s="227" t="s">
        <v>3128</v>
      </c>
      <c r="L445" s="209" t="s">
        <v>2321</v>
      </c>
      <c r="M445" s="218" t="s">
        <v>2322</v>
      </c>
      <c r="N445" s="213" t="s">
        <v>2323</v>
      </c>
      <c r="O445" s="216" t="s">
        <v>22</v>
      </c>
      <c r="P445" s="215" t="s">
        <v>2578</v>
      </c>
      <c r="Q445" s="219" t="s">
        <v>2581</v>
      </c>
      <c r="S445" s="2" t="s">
        <v>3129</v>
      </c>
      <c r="T445" s="166" t="s">
        <v>376</v>
      </c>
      <c r="U445" s="166"/>
      <c r="V445" s="166" t="s">
        <v>681</v>
      </c>
      <c r="W445" s="167" t="s">
        <v>649</v>
      </c>
      <c r="X445" s="167" t="s">
        <v>650</v>
      </c>
      <c r="Y445" s="167">
        <v>0</v>
      </c>
      <c r="Z445" s="168" t="s">
        <v>22</v>
      </c>
      <c r="AA445" s="166" t="s">
        <v>680</v>
      </c>
      <c r="AB445" s="169" t="s">
        <v>679</v>
      </c>
      <c r="AC445" s="166"/>
      <c r="AD445" s="166" t="s">
        <v>2193</v>
      </c>
      <c r="AE445" s="166" t="s">
        <v>723</v>
      </c>
      <c r="AF445" s="172" t="s">
        <v>724</v>
      </c>
      <c r="AG445" s="166"/>
      <c r="AH445" s="188" t="s">
        <v>22</v>
      </c>
      <c r="AI445" s="171" t="s">
        <v>1598</v>
      </c>
      <c r="AJ445" s="27" t="s">
        <v>1598</v>
      </c>
      <c r="AK445" s="17"/>
      <c r="AL445" s="17"/>
      <c r="AM445" s="17"/>
    </row>
    <row r="446" spans="2:39" s="2" customFormat="1" ht="29">
      <c r="B446" s="2">
        <v>382</v>
      </c>
      <c r="D446" s="37"/>
      <c r="E446" s="2" t="s">
        <v>249</v>
      </c>
      <c r="H446" s="2" t="s">
        <v>250</v>
      </c>
      <c r="K446" s="213"/>
      <c r="L446" s="213"/>
      <c r="M446" s="213"/>
      <c r="T446" s="166"/>
      <c r="U446" s="166"/>
      <c r="V446" s="166"/>
      <c r="W446" s="166"/>
      <c r="X446" s="166"/>
      <c r="Y446" s="166"/>
      <c r="Z446" s="166"/>
      <c r="AA446" s="166"/>
      <c r="AB446" s="166"/>
      <c r="AC446" s="166"/>
      <c r="AD446" s="166"/>
      <c r="AE446" s="166"/>
      <c r="AF446" s="166"/>
      <c r="AG446" s="166"/>
      <c r="AH446" s="166"/>
      <c r="AI446" s="166"/>
      <c r="AJ446" s="17"/>
      <c r="AK446" s="17"/>
      <c r="AL446" s="17"/>
      <c r="AM446" s="17"/>
    </row>
    <row r="447" spans="2:39" s="2" customFormat="1" ht="29">
      <c r="B447" s="2">
        <v>383</v>
      </c>
      <c r="D447" s="37"/>
      <c r="E447" s="2" t="s">
        <v>251</v>
      </c>
      <c r="K447" s="213"/>
      <c r="L447" s="213"/>
      <c r="M447" s="213"/>
      <c r="T447" s="166"/>
      <c r="U447" s="166"/>
      <c r="V447" s="166"/>
      <c r="W447" s="166"/>
      <c r="X447" s="166"/>
      <c r="Y447" s="166"/>
      <c r="Z447" s="166"/>
      <c r="AA447" s="166"/>
      <c r="AB447" s="166"/>
      <c r="AC447" s="166"/>
      <c r="AD447" s="166"/>
      <c r="AE447" s="166"/>
      <c r="AF447" s="166"/>
      <c r="AG447" s="166"/>
      <c r="AH447" s="166"/>
      <c r="AI447" s="166"/>
      <c r="AJ447" s="17"/>
      <c r="AK447" s="17"/>
      <c r="AL447" s="17"/>
      <c r="AM447" s="17"/>
    </row>
    <row r="448" spans="2:39" s="2" customFormat="1">
      <c r="B448" s="2">
        <v>384</v>
      </c>
      <c r="D448" s="37"/>
      <c r="E448" s="2" t="s">
        <v>252</v>
      </c>
      <c r="K448" s="213"/>
      <c r="L448" s="213"/>
      <c r="M448" s="213"/>
      <c r="T448" s="166"/>
      <c r="U448" s="166"/>
      <c r="V448" s="166"/>
      <c r="W448" s="166"/>
      <c r="X448" s="166"/>
      <c r="Y448" s="166"/>
      <c r="Z448" s="166"/>
      <c r="AA448" s="166"/>
      <c r="AB448" s="166"/>
      <c r="AC448" s="166"/>
      <c r="AD448" s="166"/>
      <c r="AE448" s="166"/>
      <c r="AF448" s="166"/>
      <c r="AG448" s="166"/>
      <c r="AH448" s="166"/>
      <c r="AI448" s="166"/>
      <c r="AJ448" s="17"/>
      <c r="AK448" s="17"/>
      <c r="AL448" s="17"/>
      <c r="AM448" s="17"/>
    </row>
    <row r="449" spans="2:39" s="2" customFormat="1">
      <c r="B449" s="2">
        <v>385</v>
      </c>
      <c r="D449" s="37"/>
      <c r="E449" s="2" t="s">
        <v>317</v>
      </c>
      <c r="K449" s="213"/>
      <c r="L449" s="213"/>
      <c r="M449" s="213"/>
      <c r="T449" s="166"/>
      <c r="U449" s="166"/>
      <c r="V449" s="166"/>
      <c r="W449" s="173"/>
      <c r="X449" s="174"/>
      <c r="Y449" s="174"/>
      <c r="Z449" s="181"/>
      <c r="AA449" s="166"/>
      <c r="AB449" s="166"/>
      <c r="AC449" s="166"/>
      <c r="AD449" s="166"/>
      <c r="AE449" s="166"/>
      <c r="AF449" s="166"/>
      <c r="AG449" s="166"/>
      <c r="AH449" s="166"/>
      <c r="AI449" s="166"/>
      <c r="AJ449" s="17"/>
      <c r="AK449" s="17"/>
      <c r="AL449" s="17"/>
      <c r="AM449" s="17"/>
    </row>
    <row r="450" spans="2:39" s="2" customFormat="1" ht="116">
      <c r="B450" s="2">
        <v>386</v>
      </c>
      <c r="D450" s="37"/>
      <c r="E450" s="2" t="s">
        <v>216</v>
      </c>
      <c r="K450" s="213"/>
      <c r="L450" s="213"/>
      <c r="M450" s="213"/>
      <c r="T450" s="166" t="s">
        <v>376</v>
      </c>
      <c r="U450" s="166"/>
      <c r="V450" s="166" t="s">
        <v>2184</v>
      </c>
      <c r="W450" s="185" t="s">
        <v>2177</v>
      </c>
      <c r="X450" s="172" t="s">
        <v>724</v>
      </c>
      <c r="Y450" s="186"/>
      <c r="Z450" s="187" t="s">
        <v>22</v>
      </c>
      <c r="AA450" s="166" t="s">
        <v>2185</v>
      </c>
      <c r="AB450" s="169" t="s">
        <v>2186</v>
      </c>
      <c r="AC450" s="166"/>
      <c r="AD450" s="166" t="s">
        <v>2187</v>
      </c>
      <c r="AE450" s="185" t="s">
        <v>2177</v>
      </c>
      <c r="AF450" s="172" t="s">
        <v>724</v>
      </c>
      <c r="AG450" s="186"/>
      <c r="AH450" s="187" t="s">
        <v>22</v>
      </c>
      <c r="AI450" s="166" t="s">
        <v>2188</v>
      </c>
      <c r="AJ450" s="23" t="s">
        <v>1107</v>
      </c>
      <c r="AK450" s="17"/>
      <c r="AL450" s="17"/>
      <c r="AM450" s="17"/>
    </row>
    <row r="451" spans="2:39" s="2" customFormat="1" ht="113.25" customHeight="1">
      <c r="B451" s="2">
        <v>387</v>
      </c>
      <c r="D451" s="37"/>
      <c r="E451" s="2" t="s">
        <v>375</v>
      </c>
      <c r="I451" s="2" t="s">
        <v>376</v>
      </c>
      <c r="K451" s="213" t="s">
        <v>3094</v>
      </c>
      <c r="L451" s="209" t="s">
        <v>2321</v>
      </c>
      <c r="M451" s="218" t="s">
        <v>2322</v>
      </c>
      <c r="N451" s="213" t="s">
        <v>2323</v>
      </c>
      <c r="O451" s="216" t="s">
        <v>22</v>
      </c>
      <c r="P451" s="215" t="s">
        <v>2578</v>
      </c>
      <c r="Q451" s="219" t="s">
        <v>2581</v>
      </c>
      <c r="S451" s="17"/>
      <c r="T451" s="166" t="s">
        <v>376</v>
      </c>
      <c r="U451" s="166"/>
      <c r="V451" s="166" t="s">
        <v>668</v>
      </c>
      <c r="W451" s="167" t="s">
        <v>649</v>
      </c>
      <c r="X451" s="167" t="s">
        <v>650</v>
      </c>
      <c r="Y451" s="167">
        <v>0</v>
      </c>
      <c r="Z451" s="168" t="s">
        <v>22</v>
      </c>
      <c r="AA451" s="166" t="s">
        <v>662</v>
      </c>
      <c r="AB451" s="169" t="s">
        <v>663</v>
      </c>
      <c r="AC451" s="166"/>
      <c r="AD451" s="166" t="s">
        <v>18</v>
      </c>
      <c r="AE451" s="166" t="s">
        <v>669</v>
      </c>
      <c r="AF451" s="166" t="s">
        <v>670</v>
      </c>
      <c r="AG451" s="166"/>
      <c r="AH451" s="166"/>
      <c r="AI451" s="166"/>
      <c r="AJ451" s="17"/>
      <c r="AK451" s="17"/>
      <c r="AL451" s="17"/>
      <c r="AM451" s="17"/>
    </row>
    <row r="452" spans="2:39" s="2" customFormat="1" ht="78.75" customHeight="1">
      <c r="B452" s="2">
        <v>388</v>
      </c>
      <c r="D452" s="37" t="s">
        <v>233</v>
      </c>
      <c r="E452" s="2" t="s">
        <v>666</v>
      </c>
      <c r="I452" s="2" t="s">
        <v>376</v>
      </c>
      <c r="K452" s="166" t="s">
        <v>667</v>
      </c>
      <c r="L452" s="209" t="s">
        <v>2321</v>
      </c>
      <c r="M452" s="218" t="s">
        <v>2322</v>
      </c>
      <c r="N452" s="213" t="s">
        <v>2323</v>
      </c>
      <c r="O452" s="216" t="s">
        <v>22</v>
      </c>
      <c r="P452" s="215" t="s">
        <v>771</v>
      </c>
      <c r="Q452" s="219" t="s">
        <v>2562</v>
      </c>
      <c r="S452" s="17" t="s">
        <v>3095</v>
      </c>
      <c r="T452" s="166" t="s">
        <v>376</v>
      </c>
      <c r="U452" s="166"/>
      <c r="V452" s="166" t="s">
        <v>667</v>
      </c>
      <c r="W452" s="167" t="s">
        <v>649</v>
      </c>
      <c r="X452" s="167" t="s">
        <v>650</v>
      </c>
      <c r="Y452" s="167">
        <v>0</v>
      </c>
      <c r="Z452" s="168" t="s">
        <v>22</v>
      </c>
      <c r="AA452" s="166" t="s">
        <v>662</v>
      </c>
      <c r="AB452" s="169" t="s">
        <v>663</v>
      </c>
      <c r="AC452" s="166"/>
      <c r="AD452" s="166"/>
      <c r="AE452" s="166"/>
      <c r="AF452" s="166"/>
      <c r="AG452" s="166"/>
      <c r="AH452" s="166"/>
      <c r="AI452" s="166"/>
      <c r="AJ452" s="17"/>
      <c r="AK452" s="17"/>
      <c r="AL452" s="17"/>
      <c r="AM452" s="17"/>
    </row>
    <row r="453" spans="2:39" s="2" customFormat="1" ht="226.5" customHeight="1">
      <c r="D453" s="37"/>
      <c r="I453" s="18" t="s">
        <v>376</v>
      </c>
      <c r="K453" s="17" t="s">
        <v>3096</v>
      </c>
      <c r="L453" s="209" t="s">
        <v>2784</v>
      </c>
      <c r="M453" s="239" t="s">
        <v>1598</v>
      </c>
      <c r="N453" s="217"/>
      <c r="O453" s="216" t="s">
        <v>22</v>
      </c>
      <c r="P453" s="215" t="s">
        <v>2971</v>
      </c>
      <c r="Q453" s="215" t="s">
        <v>2972</v>
      </c>
      <c r="S453" s="17"/>
      <c r="T453" s="166"/>
      <c r="U453" s="166"/>
      <c r="V453" s="166"/>
      <c r="W453" s="167"/>
      <c r="X453" s="167"/>
      <c r="Y453" s="167"/>
      <c r="Z453" s="168"/>
      <c r="AA453" s="166"/>
      <c r="AB453" s="169"/>
      <c r="AC453" s="166"/>
      <c r="AD453" s="166"/>
      <c r="AE453" s="166"/>
      <c r="AF453" s="166"/>
      <c r="AG453" s="166"/>
      <c r="AH453" s="166"/>
      <c r="AI453" s="166"/>
      <c r="AJ453" s="17"/>
      <c r="AK453" s="17"/>
      <c r="AL453" s="17"/>
      <c r="AM453" s="17"/>
    </row>
    <row r="454" spans="2:39" s="2" customFormat="1" ht="172.5" customHeight="1">
      <c r="B454" s="2">
        <v>389</v>
      </c>
      <c r="D454" s="37"/>
      <c r="E454" s="2" t="s">
        <v>765</v>
      </c>
      <c r="I454" s="2" t="s">
        <v>376</v>
      </c>
      <c r="K454" s="213" t="s">
        <v>2597</v>
      </c>
      <c r="L454" s="209" t="s">
        <v>2321</v>
      </c>
      <c r="M454" s="218" t="s">
        <v>2322</v>
      </c>
      <c r="N454" s="213" t="s">
        <v>2323</v>
      </c>
      <c r="O454" s="216" t="s">
        <v>22</v>
      </c>
      <c r="P454" s="215" t="s">
        <v>2598</v>
      </c>
      <c r="Q454" s="219" t="s">
        <v>2594</v>
      </c>
      <c r="S454" s="17"/>
      <c r="T454" s="166" t="s">
        <v>376</v>
      </c>
      <c r="U454" s="166"/>
      <c r="V454" s="166" t="s">
        <v>766</v>
      </c>
      <c r="W454" s="167" t="s">
        <v>649</v>
      </c>
      <c r="X454" s="167" t="s">
        <v>650</v>
      </c>
      <c r="Y454" s="167">
        <v>0</v>
      </c>
      <c r="Z454" s="168" t="s">
        <v>22</v>
      </c>
      <c r="AA454" s="166" t="s">
        <v>767</v>
      </c>
      <c r="AB454" s="169" t="s">
        <v>761</v>
      </c>
      <c r="AC454" s="166"/>
      <c r="AD454" s="166"/>
      <c r="AE454" s="166"/>
      <c r="AF454" s="166"/>
      <c r="AG454" s="166"/>
      <c r="AH454" s="166"/>
      <c r="AI454" s="166"/>
      <c r="AJ454" s="17"/>
      <c r="AK454" s="17"/>
      <c r="AL454" s="17"/>
      <c r="AM454" s="17"/>
    </row>
    <row r="455" spans="2:39" s="2" customFormat="1" ht="172.5" customHeight="1">
      <c r="B455" s="2">
        <v>390</v>
      </c>
      <c r="D455" s="37"/>
      <c r="I455" s="2" t="s">
        <v>376</v>
      </c>
      <c r="K455" s="213" t="s">
        <v>2726</v>
      </c>
      <c r="L455" s="209" t="s">
        <v>2318</v>
      </c>
      <c r="M455" s="217" t="s">
        <v>2324</v>
      </c>
      <c r="N455" s="217" t="s">
        <v>2325</v>
      </c>
      <c r="O455" s="216" t="s">
        <v>22</v>
      </c>
      <c r="P455" s="215" t="s">
        <v>554</v>
      </c>
      <c r="Q455" s="215" t="s">
        <v>2727</v>
      </c>
      <c r="S455" s="17"/>
      <c r="T455" s="166"/>
      <c r="U455" s="166"/>
      <c r="V455" s="166"/>
      <c r="W455" s="167"/>
      <c r="X455" s="167"/>
      <c r="Y455" s="167"/>
      <c r="Z455" s="168"/>
      <c r="AA455" s="166"/>
      <c r="AB455" s="169"/>
      <c r="AC455" s="166"/>
      <c r="AD455" s="166"/>
      <c r="AE455" s="192"/>
      <c r="AF455" s="191"/>
      <c r="AG455" s="192"/>
      <c r="AH455" s="192"/>
      <c r="AI455" s="166"/>
      <c r="AJ455" s="17"/>
      <c r="AK455" s="17"/>
      <c r="AL455" s="17"/>
      <c r="AM455" s="17"/>
    </row>
    <row r="456" spans="2:39" s="2" customFormat="1" ht="243.75" customHeight="1">
      <c r="B456" s="2">
        <v>391</v>
      </c>
      <c r="D456" s="37"/>
      <c r="E456" s="2" t="s">
        <v>2607</v>
      </c>
      <c r="I456" s="2" t="s">
        <v>376</v>
      </c>
      <c r="K456" s="213" t="s">
        <v>2610</v>
      </c>
      <c r="L456" s="209" t="s">
        <v>2321</v>
      </c>
      <c r="M456" s="218" t="s">
        <v>2322</v>
      </c>
      <c r="N456" s="213" t="s">
        <v>2323</v>
      </c>
      <c r="O456" s="216" t="s">
        <v>22</v>
      </c>
      <c r="P456" s="215" t="s">
        <v>2608</v>
      </c>
      <c r="Q456" s="219" t="s">
        <v>2609</v>
      </c>
      <c r="S456" s="17" t="s">
        <v>3097</v>
      </c>
      <c r="T456" s="166"/>
      <c r="U456" s="166"/>
      <c r="V456" s="166"/>
      <c r="W456" s="167"/>
      <c r="X456" s="167"/>
      <c r="Y456" s="167"/>
      <c r="Z456" s="168"/>
      <c r="AA456" s="166"/>
      <c r="AB456" s="169"/>
      <c r="AC456" s="166"/>
      <c r="AD456" s="166"/>
      <c r="AE456" s="192"/>
      <c r="AF456" s="191"/>
      <c r="AG456" s="192"/>
      <c r="AH456" s="192"/>
      <c r="AI456" s="166"/>
      <c r="AJ456" s="17"/>
      <c r="AK456" s="17"/>
      <c r="AL456" s="17"/>
      <c r="AM456" s="17"/>
    </row>
    <row r="457" spans="2:39" s="2" customFormat="1" ht="58">
      <c r="B457" s="2">
        <v>392</v>
      </c>
      <c r="D457" s="37"/>
      <c r="E457" s="2" t="s">
        <v>234</v>
      </c>
      <c r="F457" s="2" t="s">
        <v>235</v>
      </c>
      <c r="G457" s="2" t="s">
        <v>236</v>
      </c>
      <c r="K457" s="213"/>
      <c r="L457" s="213"/>
      <c r="M457" s="213"/>
      <c r="T457" s="166" t="s">
        <v>376</v>
      </c>
      <c r="U457" s="166"/>
      <c r="V457" s="166" t="s">
        <v>758</v>
      </c>
      <c r="W457" s="167" t="s">
        <v>649</v>
      </c>
      <c r="X457" s="167" t="s">
        <v>650</v>
      </c>
      <c r="Y457" s="167">
        <v>0</v>
      </c>
      <c r="Z457" s="168" t="s">
        <v>22</v>
      </c>
      <c r="AA457" s="166" t="s">
        <v>759</v>
      </c>
      <c r="AB457" s="169" t="s">
        <v>760</v>
      </c>
      <c r="AC457" s="166"/>
      <c r="AD457" s="166" t="s">
        <v>2297</v>
      </c>
      <c r="AE457" s="185" t="s">
        <v>2194</v>
      </c>
      <c r="AF457" s="172" t="s">
        <v>701</v>
      </c>
      <c r="AG457" s="186"/>
      <c r="AH457" s="187" t="s">
        <v>22</v>
      </c>
      <c r="AI457" s="166" t="s">
        <v>595</v>
      </c>
      <c r="AJ457" s="23" t="s">
        <v>2298</v>
      </c>
      <c r="AK457" s="17"/>
      <c r="AL457" s="17"/>
      <c r="AM457" s="17"/>
    </row>
    <row r="458" spans="2:39" s="2" customFormat="1">
      <c r="B458" s="2">
        <v>393</v>
      </c>
      <c r="D458" s="37"/>
      <c r="E458" s="2" t="s">
        <v>237</v>
      </c>
      <c r="F458" s="17" t="s">
        <v>2296</v>
      </c>
      <c r="K458" s="213"/>
      <c r="L458" s="213"/>
      <c r="M458" s="213"/>
      <c r="T458" s="166"/>
      <c r="U458" s="166"/>
      <c r="V458" s="166"/>
      <c r="W458" s="166"/>
      <c r="X458" s="166"/>
      <c r="Y458" s="166"/>
      <c r="Z458" s="166"/>
      <c r="AA458" s="166"/>
      <c r="AB458" s="166"/>
      <c r="AC458" s="166"/>
      <c r="AD458" s="166"/>
      <c r="AE458" s="166"/>
      <c r="AF458" s="166"/>
      <c r="AG458" s="166"/>
      <c r="AH458" s="166"/>
      <c r="AI458" s="166"/>
      <c r="AJ458" s="17"/>
      <c r="AK458" s="17"/>
      <c r="AL458" s="17"/>
      <c r="AM458" s="17"/>
    </row>
    <row r="459" spans="2:39" s="2" customFormat="1" ht="72.5">
      <c r="B459" s="2">
        <v>394</v>
      </c>
      <c r="C459" s="2" t="s">
        <v>18</v>
      </c>
      <c r="D459" s="37"/>
      <c r="E459" s="2" t="s">
        <v>238</v>
      </c>
      <c r="K459" s="213"/>
      <c r="L459" s="213"/>
      <c r="M459" s="213"/>
      <c r="T459" s="166" t="s">
        <v>376</v>
      </c>
      <c r="U459" s="166"/>
      <c r="V459" s="166" t="s">
        <v>776</v>
      </c>
      <c r="W459" s="167" t="s">
        <v>649</v>
      </c>
      <c r="X459" s="167" t="s">
        <v>650</v>
      </c>
      <c r="Y459" s="167">
        <v>0</v>
      </c>
      <c r="Z459" s="168" t="s">
        <v>22</v>
      </c>
      <c r="AA459" s="166" t="s">
        <v>619</v>
      </c>
      <c r="AB459" s="169" t="s">
        <v>775</v>
      </c>
      <c r="AC459" s="166"/>
      <c r="AD459" s="166"/>
      <c r="AE459" s="166"/>
      <c r="AF459" s="166"/>
      <c r="AG459" s="166"/>
      <c r="AH459" s="166"/>
      <c r="AI459" s="166"/>
      <c r="AJ459" s="17"/>
      <c r="AK459" s="17"/>
      <c r="AL459" s="17"/>
      <c r="AM459" s="17"/>
    </row>
    <row r="460" spans="2:39" s="2" customFormat="1" ht="87">
      <c r="B460" s="2">
        <v>395</v>
      </c>
      <c r="D460" s="37"/>
      <c r="E460" s="2" t="s">
        <v>2836</v>
      </c>
      <c r="I460" s="2" t="s">
        <v>376</v>
      </c>
      <c r="K460" s="213" t="s">
        <v>3006</v>
      </c>
      <c r="L460" s="209" t="s">
        <v>2321</v>
      </c>
      <c r="M460" s="218" t="s">
        <v>2322</v>
      </c>
      <c r="N460" s="213" t="s">
        <v>2323</v>
      </c>
      <c r="O460" s="216" t="s">
        <v>22</v>
      </c>
      <c r="P460" s="215" t="s">
        <v>2611</v>
      </c>
      <c r="Q460" s="219" t="s">
        <v>2612</v>
      </c>
      <c r="S460" s="17"/>
      <c r="T460" s="166"/>
      <c r="U460" s="166"/>
      <c r="V460" s="166"/>
      <c r="W460" s="167"/>
      <c r="X460" s="167"/>
      <c r="Y460" s="167"/>
      <c r="Z460" s="168"/>
      <c r="AA460" s="166"/>
      <c r="AB460" s="169"/>
      <c r="AC460" s="166"/>
      <c r="AD460" s="166"/>
      <c r="AE460" s="166"/>
      <c r="AF460" s="166"/>
      <c r="AG460" s="166"/>
      <c r="AH460" s="166"/>
      <c r="AI460" s="166"/>
      <c r="AJ460" s="17"/>
      <c r="AK460" s="17"/>
      <c r="AL460" s="17"/>
      <c r="AM460" s="17"/>
    </row>
    <row r="461" spans="2:39" s="2" customFormat="1">
      <c r="B461" s="2">
        <v>396</v>
      </c>
      <c r="D461" s="37"/>
      <c r="E461" s="2" t="s">
        <v>239</v>
      </c>
      <c r="K461" s="213"/>
      <c r="L461" s="213"/>
      <c r="M461" s="213"/>
      <c r="T461" s="166"/>
      <c r="U461" s="166"/>
      <c r="V461" s="166"/>
      <c r="W461" s="166"/>
      <c r="X461" s="166"/>
      <c r="Y461" s="166"/>
      <c r="Z461" s="166"/>
      <c r="AA461" s="166"/>
      <c r="AB461" s="166"/>
      <c r="AC461" s="166"/>
      <c r="AD461" s="166"/>
      <c r="AE461" s="166"/>
      <c r="AF461" s="166"/>
      <c r="AG461" s="166"/>
      <c r="AH461" s="166"/>
      <c r="AI461" s="166"/>
      <c r="AJ461" s="17"/>
      <c r="AK461" s="17"/>
      <c r="AL461" s="17"/>
      <c r="AM461" s="17"/>
    </row>
    <row r="462" spans="2:39" s="2" customFormat="1">
      <c r="B462" s="2">
        <v>397</v>
      </c>
      <c r="D462" s="37"/>
      <c r="E462" s="2" t="s">
        <v>240</v>
      </c>
      <c r="K462" s="213"/>
      <c r="L462" s="213"/>
      <c r="M462" s="213"/>
      <c r="T462" s="166"/>
      <c r="U462" s="166"/>
      <c r="V462" s="166"/>
      <c r="W462" s="166"/>
      <c r="X462" s="166"/>
      <c r="Y462" s="166"/>
      <c r="Z462" s="166"/>
      <c r="AA462" s="166"/>
      <c r="AB462" s="166"/>
      <c r="AC462" s="166"/>
      <c r="AD462" s="166"/>
      <c r="AE462" s="166"/>
      <c r="AF462" s="166"/>
      <c r="AG462" s="166"/>
      <c r="AH462" s="166"/>
      <c r="AI462" s="166"/>
      <c r="AJ462" s="17"/>
      <c r="AK462" s="17"/>
      <c r="AL462" s="17"/>
      <c r="AM462" s="17"/>
    </row>
    <row r="463" spans="2:39" s="2" customFormat="1">
      <c r="B463" s="2">
        <v>398</v>
      </c>
      <c r="D463" s="37"/>
      <c r="E463" s="2" t="s">
        <v>315</v>
      </c>
      <c r="F463" s="2" t="s">
        <v>241</v>
      </c>
      <c r="G463" s="2" t="s">
        <v>242</v>
      </c>
      <c r="K463" s="213"/>
      <c r="L463" s="213"/>
      <c r="M463" s="213"/>
      <c r="T463" s="166"/>
      <c r="U463" s="166"/>
      <c r="V463" s="166"/>
      <c r="W463" s="173"/>
      <c r="X463" s="174"/>
      <c r="Y463" s="174"/>
      <c r="Z463" s="181"/>
      <c r="AA463" s="166"/>
      <c r="AB463" s="166"/>
      <c r="AC463" s="166"/>
      <c r="AD463" s="166"/>
      <c r="AE463" s="166"/>
      <c r="AF463" s="166"/>
      <c r="AG463" s="166"/>
      <c r="AH463" s="166"/>
      <c r="AI463" s="166"/>
      <c r="AJ463" s="17"/>
      <c r="AK463" s="17"/>
      <c r="AL463" s="17"/>
      <c r="AM463" s="17"/>
    </row>
    <row r="464" spans="2:39" s="2" customFormat="1" ht="304.5">
      <c r="B464" s="2">
        <v>399</v>
      </c>
      <c r="D464" s="37" t="s">
        <v>253</v>
      </c>
      <c r="E464" s="17" t="s">
        <v>281</v>
      </c>
      <c r="I464" s="2" t="s">
        <v>376</v>
      </c>
      <c r="K464" s="2" t="s">
        <v>2835</v>
      </c>
      <c r="L464" s="209" t="s">
        <v>2318</v>
      </c>
      <c r="M464" s="217" t="s">
        <v>2324</v>
      </c>
      <c r="N464" s="217" t="s">
        <v>2325</v>
      </c>
      <c r="O464" s="216" t="s">
        <v>22</v>
      </c>
      <c r="P464" s="215" t="s">
        <v>767</v>
      </c>
      <c r="Q464" s="215" t="s">
        <v>2738</v>
      </c>
      <c r="T464" s="166" t="s">
        <v>376</v>
      </c>
      <c r="U464" s="166"/>
      <c r="V464" s="166" t="s">
        <v>772</v>
      </c>
      <c r="W464" s="167" t="s">
        <v>649</v>
      </c>
      <c r="X464" s="167" t="s">
        <v>650</v>
      </c>
      <c r="Y464" s="167">
        <v>0</v>
      </c>
      <c r="Z464" s="168" t="s">
        <v>22</v>
      </c>
      <c r="AA464" s="166" t="s">
        <v>619</v>
      </c>
      <c r="AB464" s="169" t="s">
        <v>596</v>
      </c>
      <c r="AC464" s="166" t="s">
        <v>958</v>
      </c>
      <c r="AD464" s="166"/>
      <c r="AE464" s="166"/>
      <c r="AF464" s="166"/>
      <c r="AG464" s="166"/>
      <c r="AH464" s="166"/>
      <c r="AI464" s="166"/>
      <c r="AJ464" s="17"/>
      <c r="AK464" s="17"/>
      <c r="AL464" s="17"/>
      <c r="AM464" s="17"/>
    </row>
    <row r="465" spans="2:41" s="2" customFormat="1" ht="59">
      <c r="B465" s="2">
        <v>400</v>
      </c>
      <c r="D465" s="37"/>
      <c r="E465" s="17" t="s">
        <v>2620</v>
      </c>
      <c r="I465" s="2" t="s">
        <v>376</v>
      </c>
      <c r="K465" s="213" t="s">
        <v>2619</v>
      </c>
      <c r="L465" s="209" t="s">
        <v>2321</v>
      </c>
      <c r="M465" s="218" t="s">
        <v>2322</v>
      </c>
      <c r="N465" s="213" t="s">
        <v>2323</v>
      </c>
      <c r="O465" s="216" t="s">
        <v>22</v>
      </c>
      <c r="P465" s="215" t="s">
        <v>630</v>
      </c>
      <c r="Q465" s="219" t="s">
        <v>2617</v>
      </c>
      <c r="T465" s="166"/>
      <c r="U465" s="166"/>
      <c r="V465" s="166"/>
      <c r="W465" s="167"/>
      <c r="X465" s="167"/>
      <c r="Y465" s="167"/>
      <c r="Z465" s="168"/>
      <c r="AA465" s="166"/>
      <c r="AB465" s="169"/>
      <c r="AC465" s="166"/>
      <c r="AD465" s="166"/>
      <c r="AE465" s="166"/>
      <c r="AF465" s="166"/>
      <c r="AG465" s="166"/>
      <c r="AH465" s="166"/>
      <c r="AI465" s="166"/>
      <c r="AJ465" s="17"/>
      <c r="AK465" s="17"/>
      <c r="AL465" s="17"/>
      <c r="AM465" s="17"/>
    </row>
    <row r="466" spans="2:41" s="2" customFormat="1" ht="210.75" customHeight="1">
      <c r="B466" s="2">
        <v>401</v>
      </c>
      <c r="D466" s="37"/>
      <c r="E466" s="17" t="s">
        <v>911</v>
      </c>
      <c r="F466" s="2" t="s">
        <v>773</v>
      </c>
      <c r="I466" s="2" t="s">
        <v>376</v>
      </c>
      <c r="K466" s="2" t="s">
        <v>3098</v>
      </c>
      <c r="L466" s="209" t="s">
        <v>2321</v>
      </c>
      <c r="M466" s="218" t="s">
        <v>2322</v>
      </c>
      <c r="N466" s="213" t="s">
        <v>2323</v>
      </c>
      <c r="O466" s="216" t="s">
        <v>22</v>
      </c>
      <c r="P466" s="215" t="s">
        <v>2621</v>
      </c>
      <c r="Q466" s="219" t="s">
        <v>2622</v>
      </c>
      <c r="S466" s="17" t="s">
        <v>3130</v>
      </c>
      <c r="T466" s="166" t="s">
        <v>376</v>
      </c>
      <c r="U466" s="166"/>
      <c r="V466" s="166" t="s">
        <v>831</v>
      </c>
      <c r="W466" s="167" t="s">
        <v>649</v>
      </c>
      <c r="X466" s="167" t="s">
        <v>650</v>
      </c>
      <c r="Y466" s="167">
        <v>0</v>
      </c>
      <c r="Z466" s="168" t="s">
        <v>22</v>
      </c>
      <c r="AA466" s="166" t="s">
        <v>619</v>
      </c>
      <c r="AB466" s="169" t="s">
        <v>596</v>
      </c>
      <c r="AC466" s="166"/>
      <c r="AD466" s="166" t="s">
        <v>1961</v>
      </c>
      <c r="AE466" s="167" t="s">
        <v>823</v>
      </c>
      <c r="AF466" s="166" t="s">
        <v>664</v>
      </c>
      <c r="AG466" s="167">
        <v>0</v>
      </c>
      <c r="AH466" s="167" t="s">
        <v>22</v>
      </c>
      <c r="AI466" s="167" t="s">
        <v>828</v>
      </c>
      <c r="AJ466" s="12" t="s">
        <v>830</v>
      </c>
      <c r="AK466" s="12"/>
      <c r="AL466" s="12" t="s">
        <v>1969</v>
      </c>
      <c r="AM466" s="12"/>
    </row>
    <row r="467" spans="2:41" s="2" customFormat="1" ht="191.5" customHeight="1">
      <c r="B467" s="2">
        <v>402</v>
      </c>
      <c r="D467" s="37"/>
      <c r="E467" s="17" t="s">
        <v>2625</v>
      </c>
      <c r="I467" s="2" t="s">
        <v>376</v>
      </c>
      <c r="K467" s="2" t="s">
        <v>2623</v>
      </c>
      <c r="L467" s="209" t="s">
        <v>2321</v>
      </c>
      <c r="M467" s="218" t="s">
        <v>2322</v>
      </c>
      <c r="N467" s="213" t="s">
        <v>2323</v>
      </c>
      <c r="O467" s="216" t="s">
        <v>22</v>
      </c>
      <c r="P467" s="215" t="s">
        <v>2621</v>
      </c>
      <c r="Q467" s="219" t="s">
        <v>2622</v>
      </c>
      <c r="S467" s="17"/>
      <c r="T467" s="166"/>
      <c r="U467" s="166"/>
      <c r="V467" s="166"/>
      <c r="W467" s="167"/>
      <c r="X467" s="167"/>
      <c r="Y467" s="167"/>
      <c r="Z467" s="168"/>
      <c r="AA467" s="166"/>
      <c r="AB467" s="169"/>
      <c r="AC467" s="166"/>
      <c r="AD467" s="166"/>
      <c r="AE467" s="167"/>
      <c r="AF467" s="166"/>
      <c r="AG467" s="167"/>
      <c r="AH467" s="167"/>
      <c r="AI467" s="167"/>
      <c r="AJ467" s="12"/>
      <c r="AK467" s="12"/>
      <c r="AL467" s="12"/>
      <c r="AM467" s="12"/>
    </row>
    <row r="468" spans="2:41" s="2" customFormat="1" ht="191.5" customHeight="1">
      <c r="B468" s="2">
        <v>403</v>
      </c>
      <c r="D468" s="37"/>
      <c r="E468" s="17" t="s">
        <v>2624</v>
      </c>
      <c r="I468" s="2" t="s">
        <v>376</v>
      </c>
      <c r="K468" s="2" t="s">
        <v>2630</v>
      </c>
      <c r="L468" s="209" t="s">
        <v>2321</v>
      </c>
      <c r="M468" s="218" t="s">
        <v>2322</v>
      </c>
      <c r="N468" s="213" t="s">
        <v>2323</v>
      </c>
      <c r="O468" s="216" t="s">
        <v>22</v>
      </c>
      <c r="P468" s="215" t="s">
        <v>2626</v>
      </c>
      <c r="Q468" s="219" t="s">
        <v>2627</v>
      </c>
      <c r="T468" s="166"/>
      <c r="U468" s="166"/>
      <c r="V468" s="166"/>
      <c r="W468" s="167"/>
      <c r="X468" s="167"/>
      <c r="Y468" s="167"/>
      <c r="Z468" s="168"/>
      <c r="AA468" s="166"/>
      <c r="AB468" s="169"/>
      <c r="AC468" s="166"/>
      <c r="AD468" s="166"/>
      <c r="AE468" s="167"/>
      <c r="AF468" s="166"/>
      <c r="AG468" s="167"/>
      <c r="AH468" s="167"/>
      <c r="AI468" s="167"/>
      <c r="AJ468" s="12"/>
      <c r="AK468" s="12"/>
      <c r="AL468" s="12"/>
      <c r="AM468" s="12"/>
    </row>
    <row r="469" spans="2:41" s="2" customFormat="1" ht="191.5" customHeight="1">
      <c r="B469" s="2">
        <v>404</v>
      </c>
      <c r="D469" s="37"/>
      <c r="E469" s="17" t="s">
        <v>2628</v>
      </c>
      <c r="I469" s="2" t="s">
        <v>376</v>
      </c>
      <c r="K469" s="2" t="s">
        <v>2630</v>
      </c>
      <c r="L469" s="209" t="s">
        <v>2321</v>
      </c>
      <c r="M469" s="218" t="s">
        <v>2322</v>
      </c>
      <c r="N469" s="213" t="s">
        <v>2323</v>
      </c>
      <c r="O469" s="216" t="s">
        <v>22</v>
      </c>
      <c r="P469" s="215" t="s">
        <v>2629</v>
      </c>
      <c r="Q469" s="219" t="s">
        <v>2627</v>
      </c>
      <c r="T469" s="166"/>
      <c r="U469" s="166"/>
      <c r="V469" s="166"/>
      <c r="W469" s="167"/>
      <c r="X469" s="167"/>
      <c r="Y469" s="167"/>
      <c r="Z469" s="168"/>
      <c r="AA469" s="166"/>
      <c r="AB469" s="169"/>
      <c r="AC469" s="166"/>
      <c r="AD469" s="166"/>
      <c r="AE469" s="167"/>
      <c r="AF469" s="166"/>
      <c r="AG469" s="167"/>
      <c r="AH469" s="167"/>
      <c r="AI469" s="167"/>
      <c r="AJ469" s="12"/>
      <c r="AK469" s="12"/>
      <c r="AL469" s="12"/>
      <c r="AM469" s="12"/>
    </row>
    <row r="470" spans="2:41" s="2" customFormat="1" ht="87">
      <c r="B470" s="2">
        <v>405</v>
      </c>
      <c r="D470" s="37"/>
      <c r="E470" s="2" t="s">
        <v>142</v>
      </c>
      <c r="F470" s="31" t="s">
        <v>143</v>
      </c>
      <c r="G470" s="31" t="s">
        <v>144</v>
      </c>
      <c r="K470" s="213"/>
      <c r="L470" s="213"/>
      <c r="M470" s="213"/>
      <c r="T470" s="166" t="s">
        <v>376</v>
      </c>
      <c r="U470" s="166"/>
      <c r="V470" s="166" t="s">
        <v>961</v>
      </c>
      <c r="W470" s="167" t="s">
        <v>823</v>
      </c>
      <c r="X470" s="167" t="s">
        <v>664</v>
      </c>
      <c r="Y470" s="167">
        <v>0</v>
      </c>
      <c r="Z470" s="168" t="s">
        <v>22</v>
      </c>
      <c r="AA470" s="167" t="s">
        <v>963</v>
      </c>
      <c r="AB470" s="167" t="s">
        <v>962</v>
      </c>
      <c r="AC470" s="166"/>
      <c r="AD470" s="166"/>
      <c r="AE470" s="166" t="s">
        <v>959</v>
      </c>
      <c r="AF470" s="166" t="s">
        <v>1972</v>
      </c>
      <c r="AG470" s="166"/>
      <c r="AH470" s="166"/>
      <c r="AI470" s="166"/>
      <c r="AJ470" s="17"/>
      <c r="AK470" s="17"/>
      <c r="AL470" s="17" t="s">
        <v>1970</v>
      </c>
      <c r="AM470" s="17"/>
    </row>
    <row r="471" spans="2:41" s="2" customFormat="1" ht="87">
      <c r="B471" s="2">
        <v>406</v>
      </c>
      <c r="D471" s="37"/>
      <c r="E471" s="2" t="s">
        <v>254</v>
      </c>
      <c r="H471" s="2" t="s">
        <v>255</v>
      </c>
      <c r="K471" s="213"/>
      <c r="L471" s="213"/>
      <c r="M471" s="213"/>
      <c r="T471" s="166" t="s">
        <v>376</v>
      </c>
      <c r="U471" s="166"/>
      <c r="V471" s="166" t="s">
        <v>1971</v>
      </c>
      <c r="W471" s="167" t="s">
        <v>649</v>
      </c>
      <c r="X471" s="167" t="s">
        <v>650</v>
      </c>
      <c r="Y471" s="167">
        <v>0</v>
      </c>
      <c r="Z471" s="168" t="s">
        <v>22</v>
      </c>
      <c r="AA471" s="166" t="s">
        <v>619</v>
      </c>
      <c r="AB471" s="169" t="s">
        <v>775</v>
      </c>
      <c r="AC471" s="166"/>
      <c r="AD471" s="166"/>
      <c r="AE471" s="166"/>
      <c r="AF471" s="166"/>
      <c r="AG471" s="166"/>
      <c r="AH471" s="166"/>
      <c r="AI471" s="166"/>
      <c r="AJ471" s="17"/>
      <c r="AK471" s="17"/>
      <c r="AL471" s="17" t="s">
        <v>1970</v>
      </c>
      <c r="AM471" s="17"/>
    </row>
    <row r="472" spans="2:41" s="2" customFormat="1" ht="43.5">
      <c r="B472" s="2">
        <v>407</v>
      </c>
      <c r="D472" s="37" t="s">
        <v>2865</v>
      </c>
      <c r="E472" s="2" t="s">
        <v>256</v>
      </c>
      <c r="I472" s="18" t="s">
        <v>376</v>
      </c>
      <c r="K472" s="213" t="s">
        <v>2799</v>
      </c>
      <c r="L472" s="209" t="s">
        <v>2784</v>
      </c>
      <c r="M472" s="239" t="s">
        <v>1598</v>
      </c>
      <c r="N472" s="217"/>
      <c r="O472" s="216" t="s">
        <v>22</v>
      </c>
      <c r="P472" s="215" t="s">
        <v>2801</v>
      </c>
      <c r="Q472" s="215" t="s">
        <v>2802</v>
      </c>
      <c r="S472" s="17"/>
      <c r="T472" s="166" t="s">
        <v>376</v>
      </c>
      <c r="U472" s="166"/>
      <c r="V472" s="166" t="s">
        <v>672</v>
      </c>
      <c r="W472" s="167" t="s">
        <v>649</v>
      </c>
      <c r="X472" s="167" t="s">
        <v>650</v>
      </c>
      <c r="Y472" s="167">
        <v>0</v>
      </c>
      <c r="Z472" s="168" t="s">
        <v>22</v>
      </c>
      <c r="AA472" s="166" t="s">
        <v>662</v>
      </c>
      <c r="AB472" s="169" t="s">
        <v>663</v>
      </c>
      <c r="AC472" s="166"/>
      <c r="AD472" s="166"/>
      <c r="AE472" s="166" t="s">
        <v>671</v>
      </c>
      <c r="AF472" s="166" t="s">
        <v>2183</v>
      </c>
      <c r="AG472" s="166"/>
      <c r="AH472" s="166"/>
      <c r="AI472" s="166"/>
      <c r="AJ472" s="17"/>
      <c r="AK472" s="17"/>
      <c r="AL472" s="17"/>
      <c r="AM472" s="17"/>
    </row>
    <row r="473" spans="2:41">
      <c r="B473" s="2">
        <v>408</v>
      </c>
      <c r="C473" s="2"/>
      <c r="D473" s="37"/>
      <c r="E473" s="2" t="s">
        <v>354</v>
      </c>
      <c r="F473" s="2"/>
      <c r="G473" s="2"/>
      <c r="H473" s="2"/>
      <c r="I473" s="2"/>
      <c r="J473" s="2"/>
      <c r="K473" s="213"/>
      <c r="L473" s="213"/>
      <c r="M473" s="213"/>
      <c r="N473" s="2"/>
      <c r="O473" s="2"/>
      <c r="P473" s="2"/>
      <c r="Q473" s="2"/>
      <c r="R473" s="2"/>
      <c r="S473" s="2"/>
      <c r="T473" s="166"/>
      <c r="U473" s="166"/>
      <c r="V473" s="166"/>
      <c r="W473" s="166"/>
      <c r="X473" s="166"/>
      <c r="Y473" s="166"/>
      <c r="Z473" s="170"/>
      <c r="AA473" s="166"/>
      <c r="AB473" s="171"/>
      <c r="AC473" s="166"/>
      <c r="AD473" s="166"/>
      <c r="AE473" s="166"/>
      <c r="AF473" s="166"/>
      <c r="AG473" s="166"/>
      <c r="AH473" s="166"/>
      <c r="AI473" s="166"/>
      <c r="AJ473" s="17"/>
      <c r="AK473" s="17"/>
      <c r="AL473" s="17"/>
      <c r="AM473" s="17"/>
      <c r="AN473" s="2"/>
      <c r="AO473" s="2"/>
    </row>
    <row r="474" spans="2:41" ht="116">
      <c r="B474" s="2">
        <v>409</v>
      </c>
      <c r="C474" s="2"/>
      <c r="D474" s="37"/>
      <c r="E474" s="2" t="s">
        <v>257</v>
      </c>
      <c r="F474" s="2"/>
      <c r="G474" s="2"/>
      <c r="H474" s="2"/>
      <c r="I474" s="2" t="s">
        <v>376</v>
      </c>
      <c r="J474" s="2"/>
      <c r="K474" s="213" t="s">
        <v>3099</v>
      </c>
      <c r="L474" s="209" t="s">
        <v>2321</v>
      </c>
      <c r="M474" s="218" t="s">
        <v>2322</v>
      </c>
      <c r="N474" s="213" t="s">
        <v>2323</v>
      </c>
      <c r="O474" s="216" t="s">
        <v>22</v>
      </c>
      <c r="P474" s="215" t="s">
        <v>2531</v>
      </c>
      <c r="Q474" s="219" t="s">
        <v>2532</v>
      </c>
      <c r="R474" s="2"/>
      <c r="S474" s="17"/>
      <c r="T474" s="166"/>
      <c r="U474" s="166"/>
      <c r="V474" s="166"/>
      <c r="W474" s="173"/>
      <c r="X474" s="174"/>
      <c r="Y474" s="174"/>
      <c r="Z474" s="170"/>
      <c r="AA474" s="166"/>
      <c r="AB474" s="171"/>
      <c r="AC474" s="166"/>
      <c r="AD474" s="166"/>
      <c r="AE474" s="166"/>
      <c r="AF474" s="166"/>
      <c r="AG474" s="166"/>
      <c r="AH474" s="166"/>
      <c r="AI474" s="166"/>
      <c r="AJ474" s="17"/>
      <c r="AK474" s="17"/>
      <c r="AL474" s="17"/>
      <c r="AM474" s="17"/>
      <c r="AN474" s="2"/>
      <c r="AO474" s="2"/>
    </row>
    <row r="475" spans="2:41">
      <c r="B475" s="2">
        <v>410</v>
      </c>
      <c r="C475" s="2"/>
      <c r="D475" s="37"/>
      <c r="E475" s="2" t="s">
        <v>379</v>
      </c>
      <c r="F475" s="2"/>
      <c r="G475" s="2"/>
      <c r="H475" s="2"/>
      <c r="I475" s="2"/>
      <c r="J475" s="2"/>
      <c r="K475" s="213"/>
      <c r="L475" s="213"/>
      <c r="M475" s="213"/>
      <c r="N475" s="2"/>
      <c r="O475" s="2"/>
      <c r="P475" s="2"/>
      <c r="Q475" s="2"/>
      <c r="R475" s="2"/>
      <c r="S475" s="2"/>
      <c r="T475" s="166"/>
      <c r="U475" s="166"/>
      <c r="V475" s="166"/>
      <c r="W475" s="173"/>
      <c r="X475" s="174"/>
      <c r="Y475" s="174"/>
      <c r="Z475" s="170"/>
      <c r="AA475" s="166"/>
      <c r="AB475" s="171"/>
      <c r="AC475" s="166"/>
      <c r="AD475" s="166"/>
      <c r="AE475" s="166"/>
      <c r="AF475" s="166"/>
      <c r="AG475" s="166"/>
      <c r="AH475" s="166"/>
      <c r="AI475" s="166"/>
      <c r="AJ475" s="17"/>
      <c r="AK475" s="17"/>
      <c r="AL475" s="17"/>
      <c r="AM475" s="17"/>
      <c r="AN475" s="2"/>
      <c r="AO475" s="2"/>
    </row>
    <row r="476" spans="2:41" ht="101.5">
      <c r="B476" s="2">
        <v>411</v>
      </c>
      <c r="C476" s="2"/>
      <c r="D476" s="37"/>
      <c r="E476" s="2" t="s">
        <v>2800</v>
      </c>
      <c r="F476" s="2"/>
      <c r="G476" s="2"/>
      <c r="H476" s="2"/>
      <c r="I476" s="18" t="s">
        <v>376</v>
      </c>
      <c r="J476" s="2"/>
      <c r="K476" s="213" t="s">
        <v>3131</v>
      </c>
      <c r="L476" s="209" t="s">
        <v>2784</v>
      </c>
      <c r="M476" s="239" t="s">
        <v>1598</v>
      </c>
      <c r="N476" s="217"/>
      <c r="O476" s="216" t="s">
        <v>22</v>
      </c>
      <c r="P476" s="215" t="s">
        <v>2801</v>
      </c>
      <c r="Q476" s="215" t="s">
        <v>2802</v>
      </c>
      <c r="R476" s="2"/>
      <c r="S476" s="2"/>
      <c r="T476" s="166"/>
      <c r="U476" s="166"/>
      <c r="V476" s="166"/>
      <c r="W476" s="173"/>
      <c r="X476" s="174"/>
      <c r="Y476" s="174"/>
      <c r="Z476" s="170"/>
      <c r="AA476" s="166"/>
      <c r="AB476" s="171"/>
      <c r="AC476" s="166"/>
      <c r="AD476" s="166"/>
      <c r="AE476" s="166"/>
      <c r="AF476" s="166"/>
      <c r="AG476" s="166"/>
      <c r="AH476" s="166"/>
      <c r="AI476" s="166"/>
      <c r="AJ476" s="17"/>
      <c r="AK476" s="17"/>
      <c r="AL476" s="17"/>
      <c r="AM476" s="17"/>
      <c r="AN476" s="2"/>
      <c r="AO476" s="2"/>
    </row>
    <row r="477" spans="2:41" ht="29">
      <c r="B477" s="2">
        <v>412</v>
      </c>
      <c r="C477" s="2"/>
      <c r="D477" s="37"/>
      <c r="E477" s="2" t="s">
        <v>311</v>
      </c>
      <c r="F477" s="2"/>
      <c r="G477" s="2"/>
      <c r="H477" s="2"/>
      <c r="I477" s="2"/>
      <c r="J477" s="2"/>
      <c r="K477" s="7"/>
      <c r="L477" s="213"/>
      <c r="M477" s="213"/>
      <c r="N477" s="2"/>
      <c r="O477" s="2"/>
      <c r="P477" s="2"/>
      <c r="Q477" s="2"/>
      <c r="R477" s="2"/>
      <c r="S477" s="2"/>
      <c r="T477" s="166"/>
      <c r="U477" s="166"/>
      <c r="V477" s="166"/>
      <c r="W477" s="173"/>
      <c r="X477" s="174"/>
      <c r="Y477" s="174"/>
      <c r="Z477" s="181"/>
      <c r="AA477" s="166"/>
      <c r="AB477" s="171"/>
      <c r="AC477" s="166"/>
      <c r="AD477" s="166"/>
      <c r="AE477" s="166"/>
      <c r="AF477" s="166"/>
      <c r="AG477" s="166"/>
      <c r="AH477" s="166"/>
      <c r="AI477" s="166"/>
      <c r="AJ477" s="17"/>
      <c r="AK477" s="17"/>
      <c r="AL477" s="17"/>
      <c r="AM477" s="17"/>
      <c r="AN477" s="2"/>
      <c r="AO477" s="2"/>
    </row>
    <row r="478" spans="2:41" ht="26">
      <c r="B478" s="2">
        <v>413</v>
      </c>
      <c r="C478" s="2"/>
      <c r="D478" s="37"/>
      <c r="E478" s="2" t="s">
        <v>2549</v>
      </c>
      <c r="F478" s="2"/>
      <c r="G478" s="2"/>
      <c r="H478" s="2"/>
      <c r="I478" s="2" t="s">
        <v>376</v>
      </c>
      <c r="J478" s="2"/>
      <c r="K478" s="213" t="s">
        <v>2552</v>
      </c>
      <c r="L478" s="209" t="s">
        <v>2321</v>
      </c>
      <c r="M478" s="218" t="s">
        <v>2322</v>
      </c>
      <c r="N478" s="213" t="s">
        <v>2323</v>
      </c>
      <c r="O478" s="216" t="s">
        <v>22</v>
      </c>
      <c r="P478" s="215" t="s">
        <v>2551</v>
      </c>
      <c r="Q478" s="219" t="s">
        <v>2550</v>
      </c>
      <c r="R478" s="2"/>
      <c r="S478" s="17"/>
      <c r="T478" s="166"/>
      <c r="U478" s="166"/>
      <c r="V478" s="166"/>
      <c r="W478" s="173"/>
      <c r="X478" s="174"/>
      <c r="Y478" s="174"/>
      <c r="Z478" s="181"/>
      <c r="AA478" s="166"/>
      <c r="AB478" s="171"/>
      <c r="AC478" s="166"/>
      <c r="AD478" s="166"/>
      <c r="AE478" s="166"/>
      <c r="AF478" s="166"/>
      <c r="AG478" s="166"/>
      <c r="AH478" s="166"/>
      <c r="AI478" s="166"/>
      <c r="AJ478" s="17"/>
      <c r="AK478" s="17"/>
      <c r="AL478" s="17"/>
      <c r="AM478" s="17"/>
      <c r="AN478" s="2"/>
      <c r="AO478" s="2"/>
    </row>
    <row r="479" spans="2:41" ht="145">
      <c r="B479" s="2">
        <v>414</v>
      </c>
      <c r="C479" s="2"/>
      <c r="D479" s="37"/>
      <c r="E479" s="2" t="s">
        <v>2526</v>
      </c>
      <c r="F479" s="2"/>
      <c r="G479" s="2"/>
      <c r="H479" s="2"/>
      <c r="I479" s="18" t="s">
        <v>376</v>
      </c>
      <c r="J479" s="2"/>
      <c r="K479" s="213" t="s">
        <v>2854</v>
      </c>
      <c r="L479" s="209" t="s">
        <v>2784</v>
      </c>
      <c r="M479" s="239" t="s">
        <v>1598</v>
      </c>
      <c r="N479" s="217"/>
      <c r="O479" s="216" t="s">
        <v>22</v>
      </c>
      <c r="P479" s="215" t="s">
        <v>2846</v>
      </c>
      <c r="Q479" s="215" t="s">
        <v>2853</v>
      </c>
      <c r="R479" s="2"/>
      <c r="S479" s="17" t="s">
        <v>1549</v>
      </c>
      <c r="T479" s="166"/>
      <c r="U479" s="166"/>
      <c r="V479" s="166"/>
      <c r="W479" s="166"/>
      <c r="X479" s="166"/>
      <c r="Y479" s="166"/>
      <c r="Z479" s="166"/>
      <c r="AA479" s="166"/>
      <c r="AB479" s="166"/>
      <c r="AC479" s="166"/>
      <c r="AD479" s="166"/>
      <c r="AE479" s="166"/>
      <c r="AF479" s="166"/>
      <c r="AG479" s="166"/>
      <c r="AH479" s="166"/>
      <c r="AI479" s="166"/>
      <c r="AJ479" s="2"/>
      <c r="AK479" s="2"/>
      <c r="AL479" s="2"/>
      <c r="AM479" s="2"/>
      <c r="AN479" s="2"/>
      <c r="AO479" s="2"/>
    </row>
    <row r="480" spans="2:41" ht="29">
      <c r="B480" s="2">
        <v>415</v>
      </c>
      <c r="C480" s="2"/>
      <c r="D480" s="37"/>
      <c r="E480" s="2" t="s">
        <v>745</v>
      </c>
      <c r="F480" s="2"/>
      <c r="G480" s="2"/>
      <c r="H480" s="2"/>
      <c r="I480" s="2"/>
      <c r="J480" s="2"/>
      <c r="K480" s="213"/>
      <c r="L480" s="213"/>
      <c r="M480" s="213"/>
      <c r="N480" s="2"/>
      <c r="O480" s="2"/>
      <c r="P480" s="2"/>
      <c r="Q480" s="2"/>
      <c r="R480" s="2"/>
      <c r="S480" s="2"/>
      <c r="T480" s="166" t="s">
        <v>376</v>
      </c>
      <c r="U480" s="166"/>
      <c r="V480" s="166" t="s">
        <v>744</v>
      </c>
      <c r="W480" s="167" t="s">
        <v>649</v>
      </c>
      <c r="X480" s="167" t="s">
        <v>650</v>
      </c>
      <c r="Y480" s="167">
        <v>0</v>
      </c>
      <c r="Z480" s="168" t="s">
        <v>22</v>
      </c>
      <c r="AA480" s="166" t="s">
        <v>746</v>
      </c>
      <c r="AB480" s="169" t="s">
        <v>747</v>
      </c>
      <c r="AC480" s="166"/>
      <c r="AD480" s="166"/>
      <c r="AE480" s="166"/>
      <c r="AF480" s="166"/>
      <c r="AG480" s="166"/>
      <c r="AH480" s="166"/>
      <c r="AI480" s="166"/>
      <c r="AJ480" s="17"/>
      <c r="AK480" s="17"/>
      <c r="AL480" s="17"/>
      <c r="AM480" s="17"/>
      <c r="AN480" s="2"/>
      <c r="AO480" s="2"/>
    </row>
    <row r="481" spans="2:41" ht="26">
      <c r="B481" s="2">
        <v>416</v>
      </c>
      <c r="C481" s="2"/>
      <c r="D481" s="37"/>
      <c r="E481" s="2" t="s">
        <v>2522</v>
      </c>
      <c r="F481" s="2"/>
      <c r="G481" s="2"/>
      <c r="H481" s="2"/>
      <c r="I481" s="2" t="s">
        <v>376</v>
      </c>
      <c r="J481" s="2"/>
      <c r="K481" s="213" t="s">
        <v>2521</v>
      </c>
      <c r="L481" s="209" t="s">
        <v>2321</v>
      </c>
      <c r="M481" s="218" t="s">
        <v>2322</v>
      </c>
      <c r="N481" s="213" t="s">
        <v>2323</v>
      </c>
      <c r="O481" s="216" t="s">
        <v>22</v>
      </c>
      <c r="P481" s="215" t="s">
        <v>2519</v>
      </c>
      <c r="Q481" s="219" t="s">
        <v>2520</v>
      </c>
      <c r="R481" s="2"/>
      <c r="S481" s="2"/>
      <c r="T481" s="166"/>
      <c r="U481" s="166"/>
      <c r="V481" s="166"/>
      <c r="W481" s="173"/>
      <c r="X481" s="174"/>
      <c r="Y481" s="174"/>
      <c r="Z481" s="181"/>
      <c r="AA481" s="166"/>
      <c r="AB481" s="171"/>
      <c r="AC481" s="166"/>
      <c r="AD481" s="166"/>
      <c r="AE481" s="166"/>
      <c r="AF481" s="166"/>
      <c r="AG481" s="166"/>
      <c r="AH481" s="166"/>
      <c r="AI481" s="166"/>
      <c r="AJ481" s="17"/>
      <c r="AK481" s="17"/>
      <c r="AL481" s="17"/>
      <c r="AM481" s="17"/>
      <c r="AN481" s="2"/>
      <c r="AO481" s="2"/>
    </row>
    <row r="482" spans="2:41" ht="58">
      <c r="B482" s="2">
        <v>417</v>
      </c>
      <c r="C482" s="2"/>
      <c r="D482" s="37"/>
      <c r="E482" s="2" t="s">
        <v>2523</v>
      </c>
      <c r="F482" s="2"/>
      <c r="G482" s="2"/>
      <c r="H482" s="2"/>
      <c r="I482" s="2" t="s">
        <v>376</v>
      </c>
      <c r="J482" s="2"/>
      <c r="K482" s="213" t="s">
        <v>2524</v>
      </c>
      <c r="L482" s="209" t="s">
        <v>2321</v>
      </c>
      <c r="M482" s="218" t="s">
        <v>2322</v>
      </c>
      <c r="N482" s="213" t="s">
        <v>2323</v>
      </c>
      <c r="O482" s="216" t="s">
        <v>22</v>
      </c>
      <c r="P482" s="215" t="s">
        <v>2525</v>
      </c>
      <c r="Q482" s="219" t="s">
        <v>2520</v>
      </c>
      <c r="R482" s="2"/>
      <c r="S482" s="17"/>
      <c r="T482" s="166"/>
      <c r="U482" s="166"/>
      <c r="V482" s="166"/>
      <c r="W482" s="173"/>
      <c r="X482" s="174"/>
      <c r="Y482" s="174"/>
      <c r="Z482" s="181"/>
      <c r="AA482" s="166"/>
      <c r="AB482" s="171"/>
      <c r="AC482" s="166"/>
      <c r="AD482" s="166"/>
      <c r="AE482" s="166"/>
      <c r="AF482" s="166"/>
      <c r="AG482" s="166"/>
      <c r="AH482" s="166"/>
      <c r="AI482" s="166"/>
      <c r="AJ482" s="17"/>
      <c r="AK482" s="17"/>
      <c r="AL482" s="17"/>
      <c r="AM482" s="17"/>
      <c r="AN482" s="2"/>
      <c r="AO482" s="2"/>
    </row>
    <row r="483" spans="2:41" ht="29">
      <c r="B483" s="2">
        <v>418</v>
      </c>
      <c r="C483" s="2"/>
      <c r="D483" s="37" t="s">
        <v>339</v>
      </c>
      <c r="E483" s="2"/>
      <c r="F483" s="2"/>
      <c r="G483" s="2"/>
      <c r="H483" s="2"/>
      <c r="I483" s="2"/>
      <c r="J483" s="2"/>
      <c r="K483" s="213"/>
      <c r="L483" s="213"/>
      <c r="M483" s="213"/>
      <c r="N483" s="2"/>
      <c r="O483" s="2"/>
      <c r="P483" s="2"/>
      <c r="Q483" s="2"/>
      <c r="R483" s="2"/>
      <c r="S483" s="2"/>
      <c r="T483" s="166"/>
      <c r="U483" s="166"/>
      <c r="V483" s="166"/>
      <c r="W483" s="173"/>
      <c r="X483" s="174"/>
      <c r="Y483" s="174"/>
      <c r="Z483" s="181"/>
      <c r="AA483" s="166"/>
      <c r="AB483" s="171"/>
      <c r="AC483" s="166"/>
      <c r="AD483" s="166"/>
      <c r="AE483" s="166"/>
      <c r="AF483" s="166"/>
      <c r="AG483" s="166"/>
      <c r="AH483" s="166"/>
      <c r="AI483" s="166"/>
      <c r="AJ483" s="17"/>
      <c r="AK483" s="17"/>
      <c r="AL483" s="17"/>
      <c r="AM483" s="17"/>
      <c r="AN483" s="2"/>
      <c r="AO483" s="2"/>
    </row>
    <row r="484" spans="2:41" ht="236.5" customHeight="1">
      <c r="B484" s="2">
        <v>419</v>
      </c>
      <c r="C484" s="2"/>
      <c r="D484" s="37" t="s">
        <v>312</v>
      </c>
      <c r="E484" s="2"/>
      <c r="F484" s="2"/>
      <c r="G484" s="2"/>
      <c r="H484" s="2"/>
      <c r="I484" s="2" t="s">
        <v>376</v>
      </c>
      <c r="J484" s="2"/>
      <c r="K484" s="213" t="s">
        <v>2618</v>
      </c>
      <c r="L484" s="209" t="s">
        <v>2321</v>
      </c>
      <c r="M484" s="218" t="s">
        <v>2322</v>
      </c>
      <c r="N484" s="213" t="s">
        <v>2323</v>
      </c>
      <c r="O484" s="216" t="s">
        <v>22</v>
      </c>
      <c r="P484" s="215" t="s">
        <v>2616</v>
      </c>
      <c r="Q484" s="219" t="s">
        <v>2617</v>
      </c>
      <c r="R484" s="2"/>
      <c r="S484" s="17" t="s">
        <v>3132</v>
      </c>
      <c r="T484" s="166" t="s">
        <v>376</v>
      </c>
      <c r="U484" s="166"/>
      <c r="V484" s="166" t="s">
        <v>1079</v>
      </c>
      <c r="W484" s="172" t="s">
        <v>1075</v>
      </c>
      <c r="X484" s="172" t="s">
        <v>1076</v>
      </c>
      <c r="Y484" s="172">
        <v>0</v>
      </c>
      <c r="Z484" s="187" t="s">
        <v>22</v>
      </c>
      <c r="AA484" s="166" t="s">
        <v>428</v>
      </c>
      <c r="AB484" s="169" t="s">
        <v>1077</v>
      </c>
      <c r="AC484" s="166" t="s">
        <v>1078</v>
      </c>
      <c r="AD484" s="166"/>
      <c r="AE484" s="166"/>
      <c r="AF484" s="166"/>
      <c r="AG484" s="166"/>
      <c r="AH484" s="166"/>
      <c r="AI484" s="166"/>
      <c r="AJ484" s="17"/>
      <c r="AK484" s="17"/>
      <c r="AL484" s="17"/>
      <c r="AM484" s="17"/>
      <c r="AN484" s="2"/>
      <c r="AO484" s="2"/>
    </row>
    <row r="485" spans="2:41" ht="236.5" customHeight="1">
      <c r="B485" s="2"/>
      <c r="C485" s="2"/>
      <c r="D485" s="37"/>
      <c r="E485" s="244" t="s">
        <v>2946</v>
      </c>
      <c r="F485" s="2"/>
      <c r="G485" s="2"/>
      <c r="H485" s="2"/>
      <c r="I485" s="18" t="s">
        <v>376</v>
      </c>
      <c r="J485" s="2"/>
      <c r="K485" s="213" t="s">
        <v>3133</v>
      </c>
      <c r="L485" s="209" t="s">
        <v>2784</v>
      </c>
      <c r="M485" s="239" t="s">
        <v>1598</v>
      </c>
      <c r="N485" s="217"/>
      <c r="O485" s="216" t="s">
        <v>22</v>
      </c>
      <c r="P485" s="215" t="s">
        <v>2290</v>
      </c>
      <c r="Q485" s="215" t="s">
        <v>2944</v>
      </c>
      <c r="R485" s="2"/>
      <c r="S485" s="244" t="s">
        <v>2946</v>
      </c>
      <c r="T485" s="166"/>
      <c r="U485" s="166"/>
      <c r="V485" s="166"/>
      <c r="W485" s="172"/>
      <c r="X485" s="172"/>
      <c r="Y485" s="172"/>
      <c r="Z485" s="194"/>
      <c r="AA485" s="166"/>
      <c r="AB485" s="169"/>
      <c r="AC485" s="166"/>
      <c r="AD485" s="166"/>
      <c r="AE485" s="166"/>
      <c r="AF485" s="166"/>
      <c r="AG485" s="166"/>
      <c r="AH485" s="166"/>
      <c r="AI485" s="166"/>
      <c r="AJ485" s="17"/>
      <c r="AK485" s="17"/>
      <c r="AL485" s="17"/>
      <c r="AM485" s="17"/>
      <c r="AN485" s="2"/>
      <c r="AO485" s="2"/>
    </row>
    <row r="486" spans="2:41" ht="236.5" customHeight="1">
      <c r="B486" s="2"/>
      <c r="C486" s="2"/>
      <c r="D486" s="37"/>
      <c r="E486" s="244" t="s">
        <v>2947</v>
      </c>
      <c r="F486" s="2"/>
      <c r="G486" s="2"/>
      <c r="H486" s="2"/>
      <c r="I486" s="18" t="s">
        <v>376</v>
      </c>
      <c r="J486" s="2"/>
      <c r="K486" s="213" t="s">
        <v>2948</v>
      </c>
      <c r="L486" s="209" t="s">
        <v>2784</v>
      </c>
      <c r="M486" s="239" t="s">
        <v>1598</v>
      </c>
      <c r="N486" s="217"/>
      <c r="O486" s="216" t="s">
        <v>22</v>
      </c>
      <c r="P486" s="215" t="s">
        <v>2942</v>
      </c>
      <c r="Q486" s="215" t="s">
        <v>2950</v>
      </c>
      <c r="R486" s="2"/>
      <c r="S486" s="244" t="s">
        <v>2947</v>
      </c>
      <c r="T486" s="166"/>
      <c r="U486" s="166"/>
      <c r="V486" s="166"/>
      <c r="W486" s="172"/>
      <c r="X486" s="172"/>
      <c r="Y486" s="172"/>
      <c r="Z486" s="194"/>
      <c r="AA486" s="166"/>
      <c r="AB486" s="169"/>
      <c r="AC486" s="166"/>
      <c r="AD486" s="166"/>
      <c r="AE486" s="166"/>
      <c r="AF486" s="166"/>
      <c r="AG486" s="166"/>
      <c r="AH486" s="166"/>
      <c r="AI486" s="166"/>
      <c r="AJ486" s="17"/>
      <c r="AK486" s="17"/>
      <c r="AL486" s="17"/>
      <c r="AM486" s="17"/>
      <c r="AN486" s="2"/>
      <c r="AO486" s="2"/>
    </row>
    <row r="487" spans="2:41" ht="236.5" customHeight="1">
      <c r="B487" s="2"/>
      <c r="C487" s="2"/>
      <c r="D487" s="37"/>
      <c r="E487" s="2" t="s">
        <v>1952</v>
      </c>
      <c r="F487" s="2"/>
      <c r="G487" s="2"/>
      <c r="H487" s="2"/>
      <c r="I487" s="18" t="s">
        <v>376</v>
      </c>
      <c r="J487" s="2"/>
      <c r="K487" s="213" t="s">
        <v>2951</v>
      </c>
      <c r="L487" s="209" t="s">
        <v>2784</v>
      </c>
      <c r="M487" s="239" t="s">
        <v>1598</v>
      </c>
      <c r="N487" s="217"/>
      <c r="O487" s="216" t="s">
        <v>22</v>
      </c>
      <c r="P487" s="215" t="s">
        <v>2942</v>
      </c>
      <c r="Q487" s="215" t="s">
        <v>2949</v>
      </c>
      <c r="R487" s="2"/>
      <c r="S487" s="17" t="s">
        <v>3134</v>
      </c>
      <c r="T487" s="166"/>
      <c r="U487" s="166"/>
      <c r="V487" s="166"/>
      <c r="W487" s="172"/>
      <c r="X487" s="172"/>
      <c r="Y487" s="172"/>
      <c r="Z487" s="194"/>
      <c r="AA487" s="166"/>
      <c r="AB487" s="169"/>
      <c r="AC487" s="166"/>
      <c r="AD487" s="166"/>
      <c r="AE487" s="166"/>
      <c r="AF487" s="166"/>
      <c r="AG487" s="166"/>
      <c r="AH487" s="166"/>
      <c r="AI487" s="166"/>
      <c r="AJ487" s="17"/>
      <c r="AK487" s="17"/>
      <c r="AL487" s="17"/>
      <c r="AM487" s="17"/>
      <c r="AN487" s="2"/>
      <c r="AO487" s="2"/>
    </row>
    <row r="488" spans="2:41" ht="72.5">
      <c r="B488" s="2">
        <v>420</v>
      </c>
      <c r="C488" s="2"/>
      <c r="D488" s="37" t="s">
        <v>258</v>
      </c>
      <c r="E488" s="2" t="s">
        <v>2613</v>
      </c>
      <c r="F488" s="2"/>
      <c r="G488" s="2"/>
      <c r="H488" s="2"/>
      <c r="I488" s="2" t="s">
        <v>376</v>
      </c>
      <c r="J488" s="2"/>
      <c r="K488" s="213" t="s">
        <v>3135</v>
      </c>
      <c r="L488" s="209" t="s">
        <v>2321</v>
      </c>
      <c r="M488" s="218" t="s">
        <v>2322</v>
      </c>
      <c r="N488" s="213" t="s">
        <v>2323</v>
      </c>
      <c r="O488" s="216" t="s">
        <v>22</v>
      </c>
      <c r="P488" s="215" t="s">
        <v>2615</v>
      </c>
      <c r="Q488" s="219" t="s">
        <v>2612</v>
      </c>
      <c r="R488" s="2"/>
      <c r="S488" s="17"/>
      <c r="T488" s="166"/>
      <c r="U488" s="166"/>
      <c r="V488" s="166"/>
      <c r="W488" s="173"/>
      <c r="X488" s="174"/>
      <c r="Y488" s="174"/>
      <c r="Z488" s="181"/>
      <c r="AA488" s="166"/>
      <c r="AB488" s="171"/>
      <c r="AC488" s="166"/>
      <c r="AD488" s="166"/>
      <c r="AE488" s="166"/>
      <c r="AF488" s="166"/>
      <c r="AG488" s="166"/>
      <c r="AH488" s="166"/>
      <c r="AI488" s="166"/>
      <c r="AJ488" s="17"/>
      <c r="AK488" s="17"/>
      <c r="AL488" s="17"/>
      <c r="AM488" s="17"/>
      <c r="AN488" s="2"/>
      <c r="AO488" s="2"/>
    </row>
    <row r="489" spans="2:41" ht="159.5">
      <c r="B489" s="2">
        <v>421</v>
      </c>
      <c r="C489" s="2"/>
      <c r="D489" s="37"/>
      <c r="E489" s="2" t="s">
        <v>2614</v>
      </c>
      <c r="F489" s="2"/>
      <c r="G489" s="2"/>
      <c r="H489" s="2"/>
      <c r="I489" s="18" t="s">
        <v>376</v>
      </c>
      <c r="J489" s="2"/>
      <c r="K489" s="213" t="s">
        <v>3136</v>
      </c>
      <c r="L489" s="209" t="s">
        <v>2784</v>
      </c>
      <c r="M489" s="239" t="s">
        <v>1598</v>
      </c>
      <c r="N489" s="217"/>
      <c r="O489" s="216" t="s">
        <v>22</v>
      </c>
      <c r="P489" s="215" t="s">
        <v>2766</v>
      </c>
      <c r="Q489" s="215" t="s">
        <v>2978</v>
      </c>
      <c r="R489" s="2"/>
      <c r="S489" s="17" t="s">
        <v>3137</v>
      </c>
      <c r="T489" s="166"/>
      <c r="U489" s="166"/>
      <c r="V489" s="166"/>
      <c r="W489" s="173"/>
      <c r="X489" s="174"/>
      <c r="Y489" s="174"/>
      <c r="Z489" s="181"/>
      <c r="AA489" s="166"/>
      <c r="AB489" s="171"/>
      <c r="AC489" s="166"/>
      <c r="AD489" s="166"/>
      <c r="AE489" s="166"/>
      <c r="AF489" s="166"/>
      <c r="AG489" s="166"/>
      <c r="AH489" s="166"/>
      <c r="AI489" s="166"/>
      <c r="AJ489" s="17"/>
      <c r="AK489" s="17"/>
      <c r="AL489" s="17"/>
      <c r="AM489" s="17"/>
      <c r="AN489" s="2"/>
      <c r="AO489" s="2"/>
    </row>
    <row r="490" spans="2:41" ht="159.5">
      <c r="B490" s="2"/>
      <c r="C490" s="2"/>
      <c r="D490" s="37"/>
      <c r="E490" s="2" t="s">
        <v>2979</v>
      </c>
      <c r="F490" s="2"/>
      <c r="G490" s="2"/>
      <c r="H490" s="2"/>
      <c r="I490" s="18" t="s">
        <v>376</v>
      </c>
      <c r="J490" s="2"/>
      <c r="K490" s="247" t="s">
        <v>3138</v>
      </c>
      <c r="L490" s="209" t="s">
        <v>2784</v>
      </c>
      <c r="M490" s="239" t="s">
        <v>1598</v>
      </c>
      <c r="N490" s="217"/>
      <c r="O490" s="216" t="s">
        <v>22</v>
      </c>
      <c r="P490" s="215" t="s">
        <v>2980</v>
      </c>
      <c r="Q490" s="215" t="s">
        <v>2981</v>
      </c>
      <c r="R490" s="2"/>
      <c r="S490" s="17" t="s">
        <v>3137</v>
      </c>
      <c r="T490" s="166"/>
      <c r="U490" s="166"/>
      <c r="V490" s="166"/>
      <c r="W490" s="173"/>
      <c r="X490" s="174"/>
      <c r="Y490" s="174"/>
      <c r="Z490" s="181"/>
      <c r="AA490" s="166"/>
      <c r="AB490" s="171"/>
      <c r="AC490" s="166"/>
      <c r="AD490" s="166"/>
      <c r="AE490" s="166"/>
      <c r="AF490" s="166"/>
      <c r="AG490" s="166"/>
      <c r="AH490" s="166"/>
      <c r="AI490" s="166"/>
      <c r="AJ490" s="17"/>
      <c r="AK490" s="17"/>
      <c r="AL490" s="17"/>
      <c r="AM490" s="17"/>
      <c r="AN490" s="2"/>
      <c r="AO490" s="2"/>
    </row>
    <row r="491" spans="2:41" ht="116">
      <c r="B491" s="2"/>
      <c r="C491" s="2"/>
      <c r="D491" s="37"/>
      <c r="E491" s="2" t="s">
        <v>2982</v>
      </c>
      <c r="F491" s="2"/>
      <c r="G491" s="2"/>
      <c r="H491" s="2"/>
      <c r="I491" s="18" t="s">
        <v>376</v>
      </c>
      <c r="J491" s="2"/>
      <c r="K491" s="213" t="s">
        <v>3139</v>
      </c>
      <c r="L491" s="209" t="s">
        <v>2784</v>
      </c>
      <c r="M491" s="239" t="s">
        <v>1598</v>
      </c>
      <c r="N491" s="217"/>
      <c r="O491" s="216" t="s">
        <v>22</v>
      </c>
      <c r="P491" s="215" t="s">
        <v>2983</v>
      </c>
      <c r="Q491" s="215" t="s">
        <v>2981</v>
      </c>
      <c r="R491" s="2"/>
      <c r="S491" s="17" t="s">
        <v>3140</v>
      </c>
      <c r="T491" s="166"/>
      <c r="U491" s="166"/>
      <c r="V491" s="166"/>
      <c r="W491" s="173"/>
      <c r="X491" s="174"/>
      <c r="Y491" s="174"/>
      <c r="Z491" s="181"/>
      <c r="AA491" s="166"/>
      <c r="AB491" s="171"/>
      <c r="AC491" s="166"/>
      <c r="AD491" s="166"/>
      <c r="AE491" s="166"/>
      <c r="AF491" s="166"/>
      <c r="AG491" s="166"/>
      <c r="AH491" s="166"/>
      <c r="AI491" s="166"/>
      <c r="AJ491" s="17"/>
      <c r="AK491" s="17"/>
      <c r="AL491" s="17"/>
      <c r="AM491" s="17"/>
      <c r="AN491" s="2"/>
      <c r="AO491" s="2"/>
    </row>
    <row r="492" spans="2:41" ht="246.5">
      <c r="B492" s="2"/>
      <c r="C492" s="2"/>
      <c r="D492" s="37"/>
      <c r="E492" s="2" t="s">
        <v>2984</v>
      </c>
      <c r="F492" s="2"/>
      <c r="G492" s="2"/>
      <c r="H492" s="2"/>
      <c r="I492" s="18" t="s">
        <v>376</v>
      </c>
      <c r="J492" s="2"/>
      <c r="K492" s="213" t="s">
        <v>2987</v>
      </c>
      <c r="L492" s="209" t="s">
        <v>2784</v>
      </c>
      <c r="M492" s="239" t="s">
        <v>1598</v>
      </c>
      <c r="N492" s="217"/>
      <c r="O492" s="216" t="s">
        <v>22</v>
      </c>
      <c r="P492" s="215" t="s">
        <v>2985</v>
      </c>
      <c r="Q492" s="215" t="s">
        <v>2986</v>
      </c>
      <c r="R492" s="2"/>
      <c r="S492" s="17"/>
      <c r="T492" s="166"/>
      <c r="U492" s="166"/>
      <c r="V492" s="166"/>
      <c r="W492" s="173"/>
      <c r="X492" s="174"/>
      <c r="Y492" s="174"/>
      <c r="Z492" s="181"/>
      <c r="AA492" s="166"/>
      <c r="AB492" s="171"/>
      <c r="AC492" s="166"/>
      <c r="AD492" s="166"/>
      <c r="AE492" s="166"/>
      <c r="AF492" s="166"/>
      <c r="AG492" s="166"/>
      <c r="AH492" s="166"/>
      <c r="AI492" s="166"/>
      <c r="AJ492" s="17"/>
      <c r="AK492" s="17"/>
      <c r="AL492" s="17"/>
      <c r="AM492" s="17"/>
      <c r="AN492" s="2"/>
      <c r="AO492" s="2"/>
    </row>
    <row r="493" spans="2:41" ht="232">
      <c r="B493" s="2"/>
      <c r="C493" s="2"/>
      <c r="D493" s="37" t="s">
        <v>2999</v>
      </c>
      <c r="E493" s="2"/>
      <c r="F493" s="2"/>
      <c r="G493" s="2"/>
      <c r="H493" s="2"/>
      <c r="I493" s="18" t="s">
        <v>376</v>
      </c>
      <c r="J493" s="2"/>
      <c r="K493" s="213" t="s">
        <v>3141</v>
      </c>
      <c r="L493" s="209" t="s">
        <v>2784</v>
      </c>
      <c r="M493" s="239" t="s">
        <v>1598</v>
      </c>
      <c r="N493" s="217"/>
      <c r="O493" s="216" t="s">
        <v>22</v>
      </c>
      <c r="P493" s="215" t="s">
        <v>3000</v>
      </c>
      <c r="Q493" s="215" t="s">
        <v>3001</v>
      </c>
      <c r="R493" s="2"/>
      <c r="S493" s="17" t="s">
        <v>3142</v>
      </c>
      <c r="T493" s="166"/>
      <c r="U493" s="166"/>
      <c r="V493" s="166"/>
      <c r="W493" s="173"/>
      <c r="X493" s="174"/>
      <c r="Y493" s="174"/>
      <c r="Z493" s="181"/>
      <c r="AA493" s="166"/>
      <c r="AB493" s="171"/>
      <c r="AC493" s="166"/>
      <c r="AD493" s="166"/>
      <c r="AE493" s="166"/>
      <c r="AF493" s="166"/>
      <c r="AG493" s="166"/>
      <c r="AH493" s="166"/>
      <c r="AI493" s="166"/>
      <c r="AJ493" s="17"/>
      <c r="AK493" s="17"/>
      <c r="AL493" s="17"/>
      <c r="AM493" s="17"/>
      <c r="AN493" s="2"/>
      <c r="AO493" s="2"/>
    </row>
    <row r="494" spans="2:41" ht="130.5">
      <c r="B494" s="2">
        <v>422</v>
      </c>
      <c r="C494" s="2"/>
      <c r="D494" s="37" t="s">
        <v>259</v>
      </c>
      <c r="E494" s="2"/>
      <c r="F494" s="2"/>
      <c r="G494" s="2"/>
      <c r="H494" s="2"/>
      <c r="I494" s="2" t="s">
        <v>376</v>
      </c>
      <c r="J494" s="2"/>
      <c r="K494" s="213" t="s">
        <v>3143</v>
      </c>
      <c r="L494" s="209" t="s">
        <v>2321</v>
      </c>
      <c r="M494" s="218" t="s">
        <v>2322</v>
      </c>
      <c r="N494" s="213" t="s">
        <v>2323</v>
      </c>
      <c r="O494" s="216" t="s">
        <v>22</v>
      </c>
      <c r="P494" s="215" t="s">
        <v>2632</v>
      </c>
      <c r="Q494" s="219" t="s">
        <v>2633</v>
      </c>
      <c r="R494" s="2"/>
      <c r="S494" s="2" t="s">
        <v>3144</v>
      </c>
      <c r="T494" s="166" t="s">
        <v>376</v>
      </c>
      <c r="U494" s="166"/>
      <c r="V494" s="166" t="s">
        <v>770</v>
      </c>
      <c r="W494" s="167" t="s">
        <v>649</v>
      </c>
      <c r="X494" s="167" t="s">
        <v>650</v>
      </c>
      <c r="Y494" s="167">
        <v>0</v>
      </c>
      <c r="Z494" s="168" t="s">
        <v>22</v>
      </c>
      <c r="AA494" s="166" t="s">
        <v>620</v>
      </c>
      <c r="AB494" s="169" t="s">
        <v>596</v>
      </c>
      <c r="AC494" s="166"/>
      <c r="AD494" s="166"/>
      <c r="AE494" s="166"/>
      <c r="AF494" s="166"/>
      <c r="AG494" s="166"/>
      <c r="AH494" s="166"/>
      <c r="AI494" s="166"/>
      <c r="AJ494" s="17"/>
      <c r="AK494" s="17"/>
      <c r="AL494" s="17"/>
      <c r="AM494" s="17"/>
      <c r="AN494" s="2"/>
      <c r="AO494" s="2"/>
    </row>
    <row r="495" spans="2:41" ht="188.5">
      <c r="B495" s="2"/>
      <c r="C495" s="2"/>
      <c r="D495" s="37"/>
      <c r="E495" s="2" t="s">
        <v>1952</v>
      </c>
      <c r="F495" s="2"/>
      <c r="G495" s="2"/>
      <c r="H495" s="2"/>
      <c r="I495" s="18" t="s">
        <v>376</v>
      </c>
      <c r="J495" s="2"/>
      <c r="K495" s="213" t="s">
        <v>3007</v>
      </c>
      <c r="L495" s="209" t="s">
        <v>2784</v>
      </c>
      <c r="M495" s="239" t="s">
        <v>1598</v>
      </c>
      <c r="N495" s="217"/>
      <c r="O495" s="216" t="s">
        <v>22</v>
      </c>
      <c r="P495" s="215" t="s">
        <v>938</v>
      </c>
      <c r="Q495" s="215" t="s">
        <v>2991</v>
      </c>
      <c r="R495" s="2"/>
      <c r="S495" s="2" t="s">
        <v>3144</v>
      </c>
      <c r="T495" s="166"/>
      <c r="U495" s="166"/>
      <c r="V495" s="166"/>
      <c r="W495" s="167"/>
      <c r="X495" s="167"/>
      <c r="Y495" s="167"/>
      <c r="Z495" s="168"/>
      <c r="AA495" s="166"/>
      <c r="AB495" s="169"/>
      <c r="AC495" s="166"/>
      <c r="AD495" s="166"/>
      <c r="AE495" s="166"/>
      <c r="AF495" s="166"/>
      <c r="AG495" s="166"/>
      <c r="AH495" s="166"/>
      <c r="AI495" s="166"/>
      <c r="AJ495" s="17"/>
      <c r="AK495" s="17"/>
      <c r="AL495" s="17"/>
      <c r="AM495" s="17"/>
      <c r="AN495" s="2"/>
      <c r="AO495" s="2"/>
    </row>
    <row r="496" spans="2:41" ht="211" customHeight="1">
      <c r="B496" s="2">
        <v>423</v>
      </c>
      <c r="C496" s="2"/>
      <c r="D496" s="37" t="s">
        <v>285</v>
      </c>
      <c r="E496" s="2"/>
      <c r="F496" s="2"/>
      <c r="G496" s="2"/>
      <c r="H496" s="2"/>
      <c r="I496" s="2" t="s">
        <v>376</v>
      </c>
      <c r="J496" s="2"/>
      <c r="K496" s="213" t="s">
        <v>3145</v>
      </c>
      <c r="L496" s="209" t="s">
        <v>2321</v>
      </c>
      <c r="M496" s="218" t="s">
        <v>2322</v>
      </c>
      <c r="N496" s="213" t="s">
        <v>2323</v>
      </c>
      <c r="O496" s="216" t="s">
        <v>22</v>
      </c>
      <c r="P496" s="215" t="s">
        <v>632</v>
      </c>
      <c r="Q496" s="219" t="s">
        <v>2631</v>
      </c>
      <c r="R496" s="2"/>
      <c r="S496" s="17" t="s">
        <v>3146</v>
      </c>
      <c r="T496" s="166" t="s">
        <v>376</v>
      </c>
      <c r="U496" s="166"/>
      <c r="V496" s="166" t="s">
        <v>1086</v>
      </c>
      <c r="W496" s="167" t="s">
        <v>649</v>
      </c>
      <c r="X496" s="167" t="s">
        <v>650</v>
      </c>
      <c r="Y496" s="167">
        <v>0</v>
      </c>
      <c r="Z496" s="168" t="s">
        <v>22</v>
      </c>
      <c r="AA496" s="166" t="s">
        <v>771</v>
      </c>
      <c r="AB496" s="169" t="s">
        <v>594</v>
      </c>
      <c r="AC496" s="166" t="s">
        <v>1087</v>
      </c>
      <c r="AD496" s="166"/>
      <c r="AE496" s="166"/>
      <c r="AF496" s="166"/>
      <c r="AG496" s="166"/>
      <c r="AH496" s="166"/>
      <c r="AI496" s="166"/>
      <c r="AJ496" s="17"/>
      <c r="AK496" s="17"/>
      <c r="AL496" s="17"/>
      <c r="AM496" s="17"/>
      <c r="AN496" s="2"/>
      <c r="AO496" s="2"/>
    </row>
    <row r="497" spans="2:41" ht="188.5">
      <c r="B497" s="2">
        <v>424</v>
      </c>
      <c r="C497" s="2"/>
      <c r="D497" s="37"/>
      <c r="E497" s="2" t="s">
        <v>1381</v>
      </c>
      <c r="F497" s="2"/>
      <c r="G497" s="2"/>
      <c r="H497" s="2"/>
      <c r="I497" s="2"/>
      <c r="J497" s="2"/>
      <c r="K497" s="213"/>
      <c r="L497" s="213"/>
      <c r="M497" s="213"/>
      <c r="N497" s="2"/>
      <c r="O497" s="2"/>
      <c r="P497" s="2"/>
      <c r="Q497" s="2"/>
      <c r="R497" s="2"/>
      <c r="S497" s="2"/>
      <c r="T497" s="166" t="s">
        <v>376</v>
      </c>
      <c r="U497" s="166"/>
      <c r="V497" s="166" t="s">
        <v>1950</v>
      </c>
      <c r="W497" s="185" t="s">
        <v>1764</v>
      </c>
      <c r="X497" s="186" t="s">
        <v>688</v>
      </c>
      <c r="Y497" s="166"/>
      <c r="Z497" s="168" t="s">
        <v>22</v>
      </c>
      <c r="AA497" s="166" t="s">
        <v>559</v>
      </c>
      <c r="AB497" s="167" t="s">
        <v>1949</v>
      </c>
      <c r="AC497" s="166"/>
      <c r="AD497" s="166"/>
      <c r="AE497" s="166"/>
      <c r="AF497" s="166"/>
      <c r="AG497" s="166"/>
      <c r="AH497" s="166"/>
      <c r="AI497" s="166"/>
      <c r="AJ497" s="17"/>
      <c r="AK497" s="17"/>
      <c r="AL497" s="17"/>
      <c r="AM497" s="17"/>
      <c r="AN497" s="2"/>
      <c r="AO497" s="2"/>
    </row>
    <row r="498" spans="2:41" ht="409.5">
      <c r="B498" s="2"/>
      <c r="C498" s="2"/>
      <c r="D498" s="37" t="s">
        <v>2961</v>
      </c>
      <c r="F498" s="2"/>
      <c r="G498" s="2"/>
      <c r="H498" s="2"/>
      <c r="I498" s="18" t="s">
        <v>376</v>
      </c>
      <c r="J498" s="2"/>
      <c r="K498" s="213" t="s">
        <v>3147</v>
      </c>
      <c r="L498" s="209" t="s">
        <v>2784</v>
      </c>
      <c r="M498" s="239" t="s">
        <v>1598</v>
      </c>
      <c r="N498" s="217"/>
      <c r="O498" s="216" t="s">
        <v>22</v>
      </c>
      <c r="P498" s="215" t="s">
        <v>1630</v>
      </c>
      <c r="Q498" s="215" t="s">
        <v>2962</v>
      </c>
      <c r="R498" s="2"/>
      <c r="S498" s="17" t="s">
        <v>3150</v>
      </c>
      <c r="T498" s="166"/>
      <c r="U498" s="166"/>
      <c r="V498" s="166"/>
      <c r="W498" s="199"/>
      <c r="X498" s="200"/>
      <c r="Y498" s="166"/>
      <c r="Z498" s="168"/>
      <c r="AA498" s="166"/>
      <c r="AB498" s="167"/>
      <c r="AC498" s="166"/>
      <c r="AD498" s="166"/>
      <c r="AE498" s="166"/>
      <c r="AF498" s="166"/>
      <c r="AG498" s="166"/>
      <c r="AH498" s="166"/>
      <c r="AI498" s="166"/>
      <c r="AJ498" s="17"/>
      <c r="AK498" s="17"/>
      <c r="AL498" s="17"/>
      <c r="AM498" s="17"/>
      <c r="AN498" s="2"/>
      <c r="AO498" s="2"/>
    </row>
    <row r="499" spans="2:41" ht="29">
      <c r="B499" s="2"/>
      <c r="C499" s="2"/>
      <c r="D499" s="37"/>
      <c r="E499" s="2" t="s">
        <v>2976</v>
      </c>
      <c r="F499" s="2"/>
      <c r="G499" s="2"/>
      <c r="H499" s="2"/>
      <c r="I499" s="18" t="s">
        <v>376</v>
      </c>
      <c r="J499" s="2"/>
      <c r="K499" s="2" t="s">
        <v>2977</v>
      </c>
      <c r="L499" s="209" t="s">
        <v>2784</v>
      </c>
      <c r="M499" s="239" t="s">
        <v>1598</v>
      </c>
      <c r="N499" s="217"/>
      <c r="O499" s="216" t="s">
        <v>22</v>
      </c>
      <c r="P499" s="215" t="s">
        <v>547</v>
      </c>
      <c r="Q499" s="215" t="s">
        <v>2973</v>
      </c>
      <c r="R499" s="2"/>
      <c r="S499" s="17" t="s">
        <v>3150</v>
      </c>
      <c r="T499" s="166"/>
      <c r="U499" s="166"/>
      <c r="V499" s="166"/>
      <c r="W499" s="199"/>
      <c r="X499" s="200"/>
      <c r="Y499" s="166"/>
      <c r="Z499" s="168"/>
      <c r="AA499" s="166"/>
      <c r="AB499" s="167"/>
      <c r="AC499" s="166"/>
      <c r="AD499" s="166"/>
      <c r="AE499" s="166"/>
      <c r="AF499" s="166"/>
      <c r="AG499" s="166"/>
      <c r="AH499" s="166"/>
      <c r="AI499" s="166"/>
      <c r="AJ499" s="17"/>
      <c r="AK499" s="17"/>
      <c r="AL499" s="17"/>
      <c r="AM499" s="17"/>
      <c r="AN499" s="2"/>
      <c r="AO499" s="2"/>
    </row>
    <row r="500" spans="2:41" ht="87">
      <c r="B500" s="2"/>
      <c r="C500" s="2"/>
      <c r="D500" s="37" t="s">
        <v>2965</v>
      </c>
      <c r="E500" s="2"/>
      <c r="F500" s="2"/>
      <c r="G500" s="2"/>
      <c r="H500" s="2"/>
      <c r="I500" s="18" t="s">
        <v>376</v>
      </c>
      <c r="J500" s="2"/>
      <c r="K500" s="213" t="s">
        <v>3149</v>
      </c>
      <c r="L500" s="209" t="s">
        <v>2784</v>
      </c>
      <c r="M500" s="239" t="s">
        <v>1598</v>
      </c>
      <c r="N500" s="217"/>
      <c r="O500" s="216" t="s">
        <v>22</v>
      </c>
      <c r="P500" s="215" t="s">
        <v>2963</v>
      </c>
      <c r="Q500" s="215" t="s">
        <v>2964</v>
      </c>
      <c r="R500" s="2"/>
      <c r="S500" s="17" t="s">
        <v>3150</v>
      </c>
      <c r="T500" s="166"/>
      <c r="U500" s="166"/>
      <c r="V500" s="166"/>
      <c r="W500" s="199"/>
      <c r="X500" s="200"/>
      <c r="Y500" s="166"/>
      <c r="Z500" s="168"/>
      <c r="AA500" s="166"/>
      <c r="AB500" s="167"/>
      <c r="AC500" s="166"/>
      <c r="AD500" s="166"/>
      <c r="AE500" s="166"/>
      <c r="AF500" s="166"/>
      <c r="AG500" s="166"/>
      <c r="AH500" s="166"/>
      <c r="AI500" s="166"/>
      <c r="AJ500" s="17"/>
      <c r="AK500" s="17"/>
      <c r="AL500" s="17"/>
      <c r="AM500" s="17"/>
      <c r="AN500" s="2"/>
      <c r="AO500" s="2"/>
    </row>
    <row r="501" spans="2:41">
      <c r="B501" s="2"/>
      <c r="C501" s="2"/>
      <c r="D501" s="37"/>
      <c r="E501" s="2"/>
      <c r="F501" s="2"/>
      <c r="G501" s="2"/>
      <c r="H501" s="2"/>
      <c r="I501" s="2"/>
      <c r="J501" s="2"/>
      <c r="K501" s="213"/>
      <c r="L501" s="213"/>
      <c r="M501" s="213"/>
      <c r="N501" s="2"/>
      <c r="O501" s="2"/>
      <c r="P501" s="2"/>
      <c r="Q501" s="2"/>
      <c r="R501" s="2"/>
      <c r="S501" s="2"/>
      <c r="T501" s="166"/>
      <c r="U501" s="166"/>
      <c r="V501" s="166"/>
      <c r="W501" s="199"/>
      <c r="X501" s="200"/>
      <c r="Y501" s="166"/>
      <c r="Z501" s="168"/>
      <c r="AA501" s="166"/>
      <c r="AB501" s="167"/>
      <c r="AC501" s="166"/>
      <c r="AD501" s="166"/>
      <c r="AE501" s="166"/>
      <c r="AF501" s="166"/>
      <c r="AG501" s="166"/>
      <c r="AH501" s="166"/>
      <c r="AI501" s="166"/>
      <c r="AJ501" s="17"/>
      <c r="AK501" s="17"/>
      <c r="AL501" s="17"/>
      <c r="AM501" s="17"/>
      <c r="AN501" s="2"/>
      <c r="AO501" s="2"/>
    </row>
    <row r="502" spans="2:41">
      <c r="B502" s="2">
        <v>425</v>
      </c>
      <c r="C502" s="2"/>
      <c r="E502" s="2" t="s">
        <v>313</v>
      </c>
      <c r="F502" s="2"/>
      <c r="G502" s="2"/>
      <c r="H502" s="2"/>
      <c r="I502" s="2"/>
      <c r="J502" s="2"/>
      <c r="K502" s="221"/>
      <c r="L502" s="213"/>
      <c r="M502" s="213"/>
      <c r="N502" s="2"/>
      <c r="O502" s="2"/>
      <c r="P502" s="2"/>
      <c r="Q502" s="2"/>
      <c r="R502" s="2"/>
      <c r="S502" s="2"/>
      <c r="T502" s="166"/>
      <c r="U502" s="166"/>
      <c r="V502" s="166"/>
      <c r="W502" s="173"/>
      <c r="X502" s="174"/>
      <c r="Y502" s="174"/>
      <c r="Z502" s="181"/>
      <c r="AA502" s="166"/>
      <c r="AB502" s="171"/>
      <c r="AC502" s="166"/>
      <c r="AD502" s="166"/>
      <c r="AE502" s="166"/>
      <c r="AF502" s="166"/>
      <c r="AG502" s="166"/>
      <c r="AH502" s="166"/>
      <c r="AI502" s="166"/>
      <c r="AJ502" s="17"/>
      <c r="AK502" s="17"/>
      <c r="AL502" s="17"/>
      <c r="AM502" s="17"/>
      <c r="AN502" s="2"/>
      <c r="AO502" s="2"/>
    </row>
    <row r="503" spans="2:41">
      <c r="B503" s="2">
        <v>426</v>
      </c>
      <c r="C503" s="2"/>
      <c r="D503" s="37"/>
      <c r="E503" s="2" t="s">
        <v>314</v>
      </c>
      <c r="F503" s="2"/>
      <c r="G503" s="2"/>
      <c r="H503" s="2"/>
      <c r="I503" s="2"/>
      <c r="J503" s="2"/>
      <c r="K503" s="213"/>
      <c r="L503" s="213"/>
      <c r="M503" s="213"/>
      <c r="N503" s="2"/>
      <c r="O503" s="2"/>
      <c r="P503" s="2"/>
      <c r="Q503" s="2"/>
      <c r="R503" s="2"/>
      <c r="S503" s="2"/>
      <c r="T503" s="166"/>
      <c r="U503" s="166"/>
      <c r="V503" s="166"/>
      <c r="W503" s="173"/>
      <c r="X503" s="174"/>
      <c r="Y503" s="174"/>
      <c r="Z503" s="181"/>
      <c r="AA503" s="166"/>
      <c r="AB503" s="171"/>
      <c r="AC503" s="166"/>
      <c r="AD503" s="166"/>
      <c r="AE503" s="166"/>
      <c r="AF503" s="166"/>
      <c r="AG503" s="166"/>
      <c r="AH503" s="166"/>
      <c r="AI503" s="166"/>
      <c r="AJ503" s="17"/>
      <c r="AK503" s="17"/>
      <c r="AL503" s="17"/>
      <c r="AM503" s="17"/>
      <c r="AN503" s="2"/>
      <c r="AO503" s="2"/>
    </row>
    <row r="504" spans="2:41">
      <c r="B504" s="2">
        <v>427</v>
      </c>
      <c r="C504" s="2"/>
      <c r="D504" s="37"/>
      <c r="E504" s="2" t="s">
        <v>18</v>
      </c>
      <c r="F504" s="2"/>
      <c r="G504" s="2"/>
      <c r="H504" s="2"/>
      <c r="I504" s="18" t="s">
        <v>18</v>
      </c>
      <c r="J504" s="2"/>
      <c r="K504" s="213" t="s">
        <v>18</v>
      </c>
      <c r="L504" s="213"/>
      <c r="M504" s="213"/>
      <c r="N504" s="2"/>
      <c r="O504" s="2"/>
      <c r="P504" s="2"/>
      <c r="Q504" s="2"/>
      <c r="R504" s="2"/>
      <c r="S504" s="2"/>
      <c r="T504" s="166"/>
      <c r="U504" s="166"/>
      <c r="V504" s="166"/>
      <c r="W504" s="166"/>
      <c r="X504" s="166"/>
      <c r="Y504" s="166"/>
      <c r="Z504" s="170"/>
      <c r="AA504" s="166"/>
      <c r="AB504" s="171"/>
      <c r="AC504" s="166"/>
      <c r="AD504" s="166"/>
      <c r="AE504" s="166"/>
      <c r="AF504" s="166"/>
      <c r="AG504" s="166"/>
      <c r="AH504" s="166"/>
      <c r="AI504" s="166"/>
      <c r="AJ504" s="17"/>
      <c r="AK504" s="17"/>
      <c r="AL504" s="17"/>
      <c r="AM504" s="17"/>
      <c r="AN504" s="2"/>
      <c r="AO504" s="2"/>
    </row>
    <row r="505" spans="2:41">
      <c r="B505" s="2">
        <v>428</v>
      </c>
      <c r="C505" s="2"/>
      <c r="D505" s="37"/>
      <c r="E505" s="2" t="s">
        <v>279</v>
      </c>
      <c r="F505" s="2"/>
      <c r="G505" s="2"/>
      <c r="H505" s="2"/>
      <c r="I505" s="2"/>
      <c r="J505" s="2"/>
      <c r="K505" s="221"/>
      <c r="L505" s="213"/>
      <c r="M505" s="213"/>
      <c r="N505" s="2"/>
      <c r="O505" s="2"/>
      <c r="P505" s="2"/>
      <c r="Q505" s="2"/>
      <c r="R505" s="2"/>
      <c r="S505" s="2"/>
      <c r="T505" s="166"/>
      <c r="U505" s="166"/>
      <c r="V505" s="166"/>
      <c r="W505" s="166"/>
      <c r="X505" s="166"/>
      <c r="Y505" s="166"/>
      <c r="Z505" s="170"/>
      <c r="AA505" s="166"/>
      <c r="AB505" s="171"/>
      <c r="AC505" s="166"/>
      <c r="AD505" s="166"/>
      <c r="AE505" s="166"/>
      <c r="AF505" s="166"/>
      <c r="AG505" s="166"/>
      <c r="AH505" s="166"/>
      <c r="AI505" s="166"/>
      <c r="AJ505" s="17"/>
      <c r="AK505" s="17"/>
      <c r="AL505" s="17"/>
      <c r="AM505" s="17"/>
      <c r="AN505" s="2"/>
      <c r="AO505" s="2"/>
    </row>
    <row r="506" spans="2:41" ht="159.5">
      <c r="B506" s="2"/>
      <c r="C506" s="2"/>
      <c r="D506" s="37"/>
      <c r="E506" s="2"/>
      <c r="F506" s="2"/>
      <c r="G506" s="2"/>
      <c r="H506" s="2"/>
      <c r="I506" s="18" t="s">
        <v>376</v>
      </c>
      <c r="J506" s="2"/>
      <c r="K506" s="213" t="s">
        <v>3151</v>
      </c>
      <c r="L506" s="209" t="s">
        <v>2784</v>
      </c>
      <c r="M506" s="239" t="s">
        <v>1598</v>
      </c>
      <c r="N506" s="217"/>
      <c r="O506" s="216" t="s">
        <v>22</v>
      </c>
      <c r="P506" s="215" t="s">
        <v>2966</v>
      </c>
      <c r="Q506" s="215" t="s">
        <v>2967</v>
      </c>
      <c r="R506" s="2"/>
      <c r="S506" s="17"/>
      <c r="T506" s="166"/>
      <c r="U506" s="166"/>
      <c r="V506" s="166"/>
      <c r="W506" s="166"/>
      <c r="X506" s="166"/>
      <c r="Y506" s="166"/>
      <c r="Z506" s="170"/>
      <c r="AA506" s="166"/>
      <c r="AB506" s="171"/>
      <c r="AC506" s="166"/>
      <c r="AD506" s="166"/>
      <c r="AE506" s="166"/>
      <c r="AF506" s="166"/>
      <c r="AG506" s="166"/>
      <c r="AH506" s="166"/>
      <c r="AI506" s="166"/>
      <c r="AJ506" s="17"/>
      <c r="AK506" s="17"/>
      <c r="AL506" s="17"/>
      <c r="AM506" s="17"/>
      <c r="AN506" s="2"/>
      <c r="AO506" s="2"/>
    </row>
    <row r="507" spans="2:41" ht="116">
      <c r="B507" s="2">
        <v>429</v>
      </c>
      <c r="C507" s="2"/>
      <c r="D507" s="37" t="s">
        <v>260</v>
      </c>
      <c r="E507" s="2" t="s">
        <v>356</v>
      </c>
      <c r="F507" s="2"/>
      <c r="G507" s="2"/>
      <c r="H507" s="2"/>
      <c r="I507" s="2"/>
      <c r="J507" s="2"/>
      <c r="K507" s="213"/>
      <c r="L507" s="213"/>
      <c r="M507" s="213"/>
      <c r="N507" s="2"/>
      <c r="O507" s="2"/>
      <c r="P507" s="2"/>
      <c r="Q507" s="2"/>
      <c r="R507" s="2"/>
      <c r="S507" s="2"/>
      <c r="T507" s="166" t="s">
        <v>376</v>
      </c>
      <c r="U507" s="166"/>
      <c r="V507" s="166" t="s">
        <v>1960</v>
      </c>
      <c r="W507" s="167" t="s">
        <v>823</v>
      </c>
      <c r="X507" s="166" t="s">
        <v>664</v>
      </c>
      <c r="Y507" s="167">
        <v>0</v>
      </c>
      <c r="Z507" s="168" t="s">
        <v>22</v>
      </c>
      <c r="AA507" s="167" t="s">
        <v>710</v>
      </c>
      <c r="AB507" s="167" t="s">
        <v>918</v>
      </c>
      <c r="AC507" s="166"/>
      <c r="AD507" s="166"/>
      <c r="AE507" s="166"/>
      <c r="AF507" s="166"/>
      <c r="AG507" s="166"/>
      <c r="AH507" s="166"/>
      <c r="AI507" s="166"/>
      <c r="AJ507" s="17"/>
      <c r="AK507" s="17"/>
      <c r="AL507" s="17"/>
      <c r="AM507" s="17"/>
      <c r="AN507" s="2"/>
      <c r="AO507" s="2"/>
    </row>
    <row r="508" spans="2:41">
      <c r="B508" s="2">
        <v>430</v>
      </c>
      <c r="C508" s="2"/>
      <c r="D508" s="37" t="s">
        <v>280</v>
      </c>
      <c r="E508" s="2" t="s">
        <v>355</v>
      </c>
      <c r="F508" s="2"/>
      <c r="G508" s="2"/>
      <c r="H508" s="2"/>
      <c r="I508" s="2"/>
      <c r="J508" s="2"/>
      <c r="K508" s="221"/>
      <c r="L508" s="213"/>
      <c r="M508" s="213"/>
      <c r="N508" s="2"/>
      <c r="O508" s="2"/>
      <c r="P508" s="2"/>
      <c r="Q508" s="2"/>
      <c r="R508" s="2"/>
      <c r="S508" s="2"/>
      <c r="T508" s="166"/>
      <c r="U508" s="166"/>
      <c r="V508" s="166"/>
      <c r="W508" s="166"/>
      <c r="X508" s="166"/>
      <c r="Y508" s="166"/>
      <c r="Z508" s="170"/>
      <c r="AA508" s="166"/>
      <c r="AB508" s="171"/>
      <c r="AC508" s="166"/>
      <c r="AD508" s="166"/>
      <c r="AE508" s="166"/>
      <c r="AF508" s="166"/>
      <c r="AG508" s="166"/>
      <c r="AH508" s="166"/>
      <c r="AI508" s="166"/>
      <c r="AJ508" s="17"/>
      <c r="AK508" s="17"/>
      <c r="AL508" s="17"/>
      <c r="AM508" s="17"/>
      <c r="AN508" s="2"/>
      <c r="AO508" s="2"/>
    </row>
    <row r="509" spans="2:41">
      <c r="B509" s="2">
        <v>431</v>
      </c>
      <c r="C509" s="2">
        <v>1</v>
      </c>
      <c r="D509" s="37" t="s">
        <v>261</v>
      </c>
      <c r="E509" s="2" t="s">
        <v>73</v>
      </c>
      <c r="F509" s="2" t="s">
        <v>319</v>
      </c>
      <c r="G509" s="2"/>
      <c r="H509" s="2"/>
      <c r="I509" s="2"/>
      <c r="J509" s="2"/>
      <c r="K509" s="213"/>
      <c r="L509" s="213"/>
      <c r="M509" s="213"/>
      <c r="N509" s="2"/>
      <c r="O509" s="2"/>
      <c r="P509" s="2"/>
      <c r="Q509" s="2"/>
      <c r="R509" s="2"/>
      <c r="S509" s="2"/>
      <c r="T509" s="166"/>
      <c r="U509" s="166"/>
      <c r="V509" s="166"/>
      <c r="W509" s="173"/>
      <c r="X509" s="174"/>
      <c r="Y509" s="174"/>
      <c r="Z509" s="181"/>
      <c r="AA509" s="166"/>
      <c r="AB509" s="171"/>
      <c r="AC509" s="166"/>
      <c r="AD509" s="166"/>
      <c r="AE509" s="166"/>
      <c r="AF509" s="166"/>
      <c r="AG509" s="166"/>
      <c r="AH509" s="166"/>
      <c r="AI509" s="166"/>
      <c r="AJ509" s="17"/>
      <c r="AK509" s="17"/>
      <c r="AL509" s="17"/>
      <c r="AM509" s="17"/>
      <c r="AN509" s="2"/>
      <c r="AO509" s="2"/>
    </row>
    <row r="510" spans="2:41" ht="43.5">
      <c r="B510" s="2">
        <v>432</v>
      </c>
      <c r="C510" s="2"/>
      <c r="D510" s="37"/>
      <c r="E510" s="2" t="s">
        <v>318</v>
      </c>
      <c r="F510" s="2"/>
      <c r="G510" s="2"/>
      <c r="H510" s="2"/>
      <c r="I510" s="2"/>
      <c r="J510" s="2"/>
      <c r="K510" s="213"/>
      <c r="L510" s="213"/>
      <c r="M510" s="213"/>
      <c r="N510" s="2"/>
      <c r="O510" s="2"/>
      <c r="P510" s="2"/>
      <c r="Q510" s="2"/>
      <c r="R510" s="2"/>
      <c r="S510" s="2"/>
      <c r="T510" s="166" t="s">
        <v>376</v>
      </c>
      <c r="U510" s="166"/>
      <c r="V510" s="166" t="s">
        <v>832</v>
      </c>
      <c r="W510" s="167" t="s">
        <v>823</v>
      </c>
      <c r="X510" s="166" t="s">
        <v>664</v>
      </c>
      <c r="Y510" s="167">
        <v>0</v>
      </c>
      <c r="Z510" s="168" t="s">
        <v>22</v>
      </c>
      <c r="AA510" s="167" t="s">
        <v>828</v>
      </c>
      <c r="AB510" s="167" t="s">
        <v>830</v>
      </c>
      <c r="AC510" s="166"/>
      <c r="AD510" s="166"/>
      <c r="AE510" s="166"/>
      <c r="AF510" s="166"/>
      <c r="AG510" s="166"/>
      <c r="AH510" s="166"/>
      <c r="AI510" s="166"/>
      <c r="AJ510" s="17"/>
      <c r="AK510" s="17"/>
      <c r="AL510" s="12" t="s">
        <v>1969</v>
      </c>
      <c r="AM510" s="17"/>
      <c r="AN510" s="2"/>
      <c r="AO510" s="2"/>
    </row>
    <row r="511" spans="2:41" ht="43.5">
      <c r="B511" s="2">
        <v>433</v>
      </c>
      <c r="C511" s="2"/>
      <c r="D511" s="37"/>
      <c r="E511" s="2" t="s">
        <v>318</v>
      </c>
      <c r="F511" s="2"/>
      <c r="G511" s="2"/>
      <c r="H511" s="2"/>
      <c r="I511" s="2"/>
      <c r="J511" s="2"/>
      <c r="K511" s="213"/>
      <c r="L511" s="213"/>
      <c r="M511" s="213"/>
      <c r="N511" s="2"/>
      <c r="O511" s="2"/>
      <c r="P511" s="2"/>
      <c r="Q511" s="2"/>
      <c r="R511" s="2"/>
      <c r="S511" s="2"/>
      <c r="T511" s="166" t="s">
        <v>376</v>
      </c>
      <c r="U511" s="166"/>
      <c r="V511" s="166" t="s">
        <v>1843</v>
      </c>
      <c r="W511" s="185" t="s">
        <v>1764</v>
      </c>
      <c r="X511" s="186" t="s">
        <v>688</v>
      </c>
      <c r="Y511" s="166"/>
      <c r="Z511" s="168" t="s">
        <v>22</v>
      </c>
      <c r="AA511" s="166" t="s">
        <v>1844</v>
      </c>
      <c r="AB511" s="167" t="s">
        <v>1845</v>
      </c>
      <c r="AC511" s="166"/>
      <c r="AD511" s="166"/>
      <c r="AE511" s="166"/>
      <c r="AF511" s="166"/>
      <c r="AG511" s="166"/>
      <c r="AH511" s="166"/>
      <c r="AI511" s="166"/>
      <c r="AJ511" s="17"/>
      <c r="AK511" s="17"/>
      <c r="AL511" s="17"/>
      <c r="AM511" s="17"/>
      <c r="AN511" s="2"/>
      <c r="AO511" s="2"/>
    </row>
    <row r="512" spans="2:41" ht="72.5">
      <c r="B512" s="2">
        <v>434</v>
      </c>
      <c r="C512" s="2"/>
      <c r="D512" s="37"/>
      <c r="E512" s="2" t="s">
        <v>320</v>
      </c>
      <c r="F512" s="2"/>
      <c r="G512" s="2"/>
      <c r="H512" s="2"/>
      <c r="I512" s="2"/>
      <c r="J512" s="2"/>
      <c r="L512" s="213"/>
      <c r="M512" s="213"/>
      <c r="N512" s="2"/>
      <c r="O512" s="2"/>
      <c r="P512" s="2"/>
      <c r="Q512" s="2"/>
      <c r="R512" s="2"/>
      <c r="S512" s="2"/>
      <c r="T512" s="166" t="s">
        <v>376</v>
      </c>
      <c r="U512" s="166"/>
      <c r="V512" s="166" t="s">
        <v>1421</v>
      </c>
      <c r="W512" s="167" t="s">
        <v>823</v>
      </c>
      <c r="X512" s="166" t="s">
        <v>664</v>
      </c>
      <c r="Y512" s="166"/>
      <c r="Z512" s="168" t="s">
        <v>22</v>
      </c>
      <c r="AA512" s="166"/>
      <c r="AB512" s="169"/>
      <c r="AC512" s="166"/>
      <c r="AD512" s="166"/>
      <c r="AE512" s="166"/>
      <c r="AF512" s="166"/>
      <c r="AG512" s="166"/>
      <c r="AH512" s="166"/>
      <c r="AI512" s="166"/>
      <c r="AJ512" s="17"/>
      <c r="AK512" s="17"/>
      <c r="AL512" s="17"/>
      <c r="AM512" s="17"/>
      <c r="AN512" s="2"/>
      <c r="AO512" s="2"/>
    </row>
    <row r="513" spans="2:41">
      <c r="B513" s="2">
        <v>435</v>
      </c>
      <c r="C513" s="2"/>
      <c r="D513" s="37"/>
      <c r="E513" s="2" t="s">
        <v>321</v>
      </c>
      <c r="F513" s="2"/>
      <c r="G513" s="2"/>
      <c r="H513" s="2"/>
      <c r="I513" s="2"/>
      <c r="J513" s="2"/>
      <c r="K513" s="213"/>
      <c r="L513" s="213"/>
      <c r="M513" s="213"/>
      <c r="N513" s="2"/>
      <c r="O513" s="2"/>
      <c r="P513" s="2"/>
      <c r="Q513" s="2"/>
      <c r="R513" s="2"/>
      <c r="S513" s="2"/>
      <c r="T513" s="166"/>
      <c r="U513" s="166"/>
      <c r="V513" s="166"/>
      <c r="W513" s="173"/>
      <c r="X513" s="174"/>
      <c r="Y513" s="174"/>
      <c r="Z513" s="181"/>
      <c r="AA513" s="166"/>
      <c r="AB513" s="171"/>
      <c r="AC513" s="166"/>
      <c r="AD513" s="166"/>
      <c r="AE513" s="166"/>
      <c r="AF513" s="166"/>
      <c r="AG513" s="166"/>
      <c r="AH513" s="166"/>
      <c r="AI513" s="166"/>
      <c r="AJ513" s="17"/>
      <c r="AK513" s="17"/>
      <c r="AL513" s="17"/>
      <c r="AM513" s="17"/>
      <c r="AN513" s="2"/>
      <c r="AO513" s="2"/>
    </row>
    <row r="514" spans="2:41" ht="188.5">
      <c r="B514" s="2">
        <v>436</v>
      </c>
      <c r="C514" s="2">
        <v>1</v>
      </c>
      <c r="D514" s="37" t="s">
        <v>262</v>
      </c>
      <c r="E514" s="2"/>
      <c r="F514" s="2"/>
      <c r="G514" s="2"/>
      <c r="H514" s="2"/>
      <c r="I514" s="2" t="s">
        <v>376</v>
      </c>
      <c r="J514" s="2"/>
      <c r="K514" s="213" t="s">
        <v>2644</v>
      </c>
      <c r="L514" s="209" t="s">
        <v>2321</v>
      </c>
      <c r="M514" s="218" t="s">
        <v>2322</v>
      </c>
      <c r="N514" s="213" t="s">
        <v>2323</v>
      </c>
      <c r="O514" s="216" t="s">
        <v>22</v>
      </c>
      <c r="P514" s="215" t="s">
        <v>635</v>
      </c>
      <c r="Q514" s="219" t="s">
        <v>2631</v>
      </c>
      <c r="R514" s="2"/>
      <c r="S514" s="17"/>
      <c r="T514" s="166"/>
      <c r="U514" s="166"/>
      <c r="V514" s="166"/>
      <c r="W514" s="173"/>
      <c r="X514" s="174"/>
      <c r="Y514" s="174"/>
      <c r="Z514" s="181"/>
      <c r="AA514" s="166"/>
      <c r="AB514" s="171"/>
      <c r="AC514" s="166"/>
      <c r="AD514" s="166"/>
      <c r="AE514" s="166"/>
      <c r="AF514" s="166"/>
      <c r="AG514" s="166"/>
      <c r="AH514" s="166"/>
      <c r="AI514" s="166"/>
      <c r="AJ514" s="17"/>
      <c r="AK514" s="17"/>
      <c r="AL514" s="17"/>
      <c r="AM514" s="17"/>
      <c r="AN514" s="2"/>
      <c r="AO514" s="2"/>
    </row>
    <row r="515" spans="2:41" ht="29">
      <c r="B515" s="2"/>
      <c r="C515" s="2"/>
      <c r="D515" s="37"/>
      <c r="E515" s="2"/>
      <c r="F515" s="2"/>
      <c r="G515" s="2"/>
      <c r="H515" s="2"/>
      <c r="I515" s="18" t="s">
        <v>376</v>
      </c>
      <c r="J515" s="2"/>
      <c r="K515" s="213" t="s">
        <v>2862</v>
      </c>
      <c r="L515" s="209" t="s">
        <v>2784</v>
      </c>
      <c r="M515" s="239" t="s">
        <v>1598</v>
      </c>
      <c r="N515" s="217"/>
      <c r="O515" s="216" t="s">
        <v>22</v>
      </c>
      <c r="P515" s="215" t="s">
        <v>2863</v>
      </c>
      <c r="Q515" s="215" t="s">
        <v>2864</v>
      </c>
      <c r="R515" s="2"/>
      <c r="S515" s="17"/>
      <c r="T515" s="166"/>
      <c r="U515" s="166"/>
      <c r="V515" s="166"/>
      <c r="W515" s="173"/>
      <c r="X515" s="174"/>
      <c r="Y515" s="174"/>
      <c r="Z515" s="181"/>
      <c r="AA515" s="166"/>
      <c r="AB515" s="171"/>
      <c r="AC515" s="166"/>
      <c r="AD515" s="166"/>
      <c r="AE515" s="166"/>
      <c r="AF515" s="166"/>
      <c r="AG515" s="166"/>
      <c r="AH515" s="166"/>
      <c r="AI515" s="166"/>
      <c r="AJ515" s="17"/>
      <c r="AK515" s="17"/>
      <c r="AL515" s="17"/>
      <c r="AM515" s="17"/>
      <c r="AN515" s="2"/>
      <c r="AO515" s="2"/>
    </row>
    <row r="516" spans="2:41" ht="362.5">
      <c r="B516" s="2"/>
      <c r="C516" s="2"/>
      <c r="D516" s="37"/>
      <c r="E516" s="2" t="s">
        <v>2943</v>
      </c>
      <c r="F516" s="2"/>
      <c r="G516" s="2"/>
      <c r="H516" s="2"/>
      <c r="I516" s="18" t="s">
        <v>376</v>
      </c>
      <c r="J516" s="2"/>
      <c r="K516" s="213" t="s">
        <v>3152</v>
      </c>
      <c r="L516" s="209" t="s">
        <v>2784</v>
      </c>
      <c r="M516" s="239" t="s">
        <v>1598</v>
      </c>
      <c r="N516" s="217"/>
      <c r="O516" s="216" t="s">
        <v>22</v>
      </c>
      <c r="P516" s="215" t="s">
        <v>2952</v>
      </c>
      <c r="Q516" s="215" t="s">
        <v>2953</v>
      </c>
      <c r="R516" s="2"/>
      <c r="S516" s="17" t="s">
        <v>3153</v>
      </c>
      <c r="T516" s="166"/>
      <c r="U516" s="166"/>
      <c r="V516" s="166"/>
      <c r="W516" s="173"/>
      <c r="X516" s="174"/>
      <c r="Y516" s="174"/>
      <c r="Z516" s="181"/>
      <c r="AA516" s="166"/>
      <c r="AB516" s="171"/>
      <c r="AC516" s="166"/>
      <c r="AD516" s="166"/>
      <c r="AE516" s="166"/>
      <c r="AF516" s="166"/>
      <c r="AG516" s="166"/>
      <c r="AH516" s="166"/>
      <c r="AI516" s="166"/>
      <c r="AJ516" s="17"/>
      <c r="AK516" s="17"/>
      <c r="AL516" s="17"/>
      <c r="AM516" s="17"/>
      <c r="AN516" s="2"/>
      <c r="AO516" s="2"/>
    </row>
    <row r="517" spans="2:41">
      <c r="B517" s="2"/>
      <c r="C517" s="2"/>
      <c r="D517" s="37"/>
      <c r="E517" s="2"/>
      <c r="F517" s="2"/>
      <c r="G517" s="2"/>
      <c r="H517" s="2"/>
      <c r="I517" s="18"/>
      <c r="J517" s="2"/>
      <c r="K517" s="213"/>
      <c r="L517" s="209"/>
      <c r="M517" s="239"/>
      <c r="N517" s="240"/>
      <c r="O517" s="216"/>
      <c r="P517" s="215"/>
      <c r="Q517" s="215"/>
      <c r="R517" s="2"/>
      <c r="S517" s="2"/>
      <c r="T517" s="166"/>
      <c r="U517" s="166"/>
      <c r="V517" s="166"/>
      <c r="W517" s="173"/>
      <c r="X517" s="174"/>
      <c r="Y517" s="174"/>
      <c r="Z517" s="181"/>
      <c r="AA517" s="166"/>
      <c r="AB517" s="171"/>
      <c r="AC517" s="166"/>
      <c r="AD517" s="166"/>
      <c r="AE517" s="166"/>
      <c r="AF517" s="166"/>
      <c r="AG517" s="166"/>
      <c r="AH517" s="166"/>
      <c r="AI517" s="166"/>
      <c r="AJ517" s="17"/>
      <c r="AK517" s="17"/>
      <c r="AL517" s="17"/>
      <c r="AM517" s="17"/>
      <c r="AN517" s="2"/>
      <c r="AO517" s="2"/>
    </row>
    <row r="518" spans="2:41" ht="116">
      <c r="B518" s="2">
        <v>437</v>
      </c>
      <c r="C518" s="2"/>
      <c r="D518" s="37" t="s">
        <v>2646</v>
      </c>
      <c r="E518" s="2" t="s">
        <v>2647</v>
      </c>
      <c r="F518" s="2"/>
      <c r="G518" s="2"/>
      <c r="H518" s="2"/>
      <c r="I518" s="2" t="s">
        <v>376</v>
      </c>
      <c r="J518" s="2"/>
      <c r="K518" s="213" t="s">
        <v>2649</v>
      </c>
      <c r="L518" s="209" t="s">
        <v>2321</v>
      </c>
      <c r="M518" s="218" t="s">
        <v>2322</v>
      </c>
      <c r="N518" s="213" t="s">
        <v>2323</v>
      </c>
      <c r="O518" s="216" t="s">
        <v>22</v>
      </c>
      <c r="P518" s="215" t="s">
        <v>635</v>
      </c>
      <c r="Q518" s="219" t="s">
        <v>2631</v>
      </c>
      <c r="R518" s="2"/>
      <c r="S518" s="17"/>
      <c r="T518" s="166"/>
      <c r="U518" s="166"/>
      <c r="V518" s="166"/>
      <c r="W518" s="173"/>
      <c r="X518" s="174"/>
      <c r="Y518" s="174"/>
      <c r="Z518" s="181"/>
      <c r="AA518" s="166"/>
      <c r="AB518" s="171"/>
      <c r="AC518" s="166"/>
      <c r="AD518" s="166"/>
      <c r="AE518" s="166"/>
      <c r="AF518" s="166"/>
      <c r="AG518" s="166"/>
      <c r="AH518" s="166"/>
      <c r="AI518" s="166"/>
      <c r="AJ518" s="17"/>
      <c r="AK518" s="17"/>
      <c r="AL518" s="17"/>
      <c r="AM518" s="17"/>
      <c r="AN518" s="2"/>
      <c r="AO518" s="2"/>
    </row>
    <row r="519" spans="2:41" ht="29">
      <c r="B519" s="2">
        <v>438</v>
      </c>
      <c r="C519" s="2"/>
      <c r="D519" s="37" t="s">
        <v>2648</v>
      </c>
      <c r="E519" s="2"/>
      <c r="F519" s="2"/>
      <c r="G519" s="2"/>
      <c r="H519" s="2"/>
      <c r="I519" s="2" t="s">
        <v>376</v>
      </c>
      <c r="J519" s="2"/>
      <c r="K519" s="227" t="s">
        <v>2650</v>
      </c>
      <c r="L519" s="209" t="s">
        <v>2321</v>
      </c>
      <c r="M519" s="218" t="s">
        <v>2322</v>
      </c>
      <c r="N519" s="213" t="s">
        <v>2323</v>
      </c>
      <c r="O519" s="216" t="s">
        <v>22</v>
      </c>
      <c r="P519" s="215" t="s">
        <v>635</v>
      </c>
      <c r="Q519" s="219" t="s">
        <v>2631</v>
      </c>
      <c r="R519" s="2"/>
      <c r="S519" s="17"/>
      <c r="T519" s="166"/>
      <c r="U519" s="166"/>
      <c r="V519" s="166"/>
      <c r="W519" s="173"/>
      <c r="X519" s="174"/>
      <c r="Y519" s="174"/>
      <c r="Z519" s="181"/>
      <c r="AA519" s="166"/>
      <c r="AB519" s="171"/>
      <c r="AC519" s="166"/>
      <c r="AD519" s="166"/>
      <c r="AE519" s="166"/>
      <c r="AF519" s="166"/>
      <c r="AG519" s="166"/>
      <c r="AH519" s="166"/>
      <c r="AI519" s="166"/>
      <c r="AJ519" s="17"/>
      <c r="AK519" s="17"/>
      <c r="AL519" s="17"/>
      <c r="AM519" s="17"/>
      <c r="AN519" s="2"/>
      <c r="AO519" s="2"/>
    </row>
    <row r="520" spans="2:41" ht="43.5">
      <c r="B520" s="2">
        <v>439</v>
      </c>
      <c r="C520" s="2">
        <v>1</v>
      </c>
      <c r="D520" s="37" t="s">
        <v>316</v>
      </c>
      <c r="E520" s="2"/>
      <c r="F520" s="2"/>
      <c r="G520" s="2"/>
      <c r="H520" s="2"/>
      <c r="I520" s="18" t="s">
        <v>376</v>
      </c>
      <c r="J520" s="2"/>
      <c r="K520" s="213" t="s">
        <v>3154</v>
      </c>
      <c r="L520" s="209" t="s">
        <v>2784</v>
      </c>
      <c r="M520" s="239" t="s">
        <v>1598</v>
      </c>
      <c r="N520" s="217"/>
      <c r="O520" s="216" t="s">
        <v>22</v>
      </c>
      <c r="P520" s="215" t="s">
        <v>942</v>
      </c>
      <c r="Q520" s="215" t="s">
        <v>2992</v>
      </c>
      <c r="R520" s="2"/>
      <c r="S520" s="2"/>
      <c r="T520" s="166"/>
      <c r="U520" s="166"/>
      <c r="V520" s="189"/>
      <c r="W520" s="173"/>
      <c r="X520" s="174"/>
      <c r="Y520" s="174"/>
      <c r="Z520" s="181"/>
      <c r="AA520" s="166"/>
      <c r="AB520" s="171"/>
      <c r="AC520" s="166"/>
      <c r="AD520" s="166"/>
      <c r="AE520" s="166"/>
      <c r="AF520" s="166"/>
      <c r="AG520" s="166"/>
      <c r="AH520" s="166"/>
      <c r="AI520" s="166"/>
      <c r="AJ520" s="17"/>
      <c r="AK520" s="17"/>
      <c r="AL520" s="17"/>
      <c r="AM520" s="17"/>
      <c r="AN520" s="2"/>
      <c r="AO520" s="2"/>
    </row>
    <row r="521" spans="2:41" ht="29">
      <c r="B521" s="2"/>
      <c r="C521" s="2"/>
      <c r="D521" s="37"/>
      <c r="E521" s="246" t="s">
        <v>268</v>
      </c>
      <c r="F521" s="2"/>
      <c r="G521" s="2"/>
      <c r="H521" s="2"/>
      <c r="I521" s="18" t="s">
        <v>376</v>
      </c>
      <c r="J521" s="2"/>
      <c r="K521" s="213" t="s">
        <v>2990</v>
      </c>
      <c r="L521" s="209" t="s">
        <v>2784</v>
      </c>
      <c r="M521" s="239" t="s">
        <v>1598</v>
      </c>
      <c r="N521" s="217"/>
      <c r="O521" s="216" t="s">
        <v>22</v>
      </c>
      <c r="P521" s="215" t="s">
        <v>2988</v>
      </c>
      <c r="Q521" s="215" t="s">
        <v>2989</v>
      </c>
      <c r="R521" s="2"/>
      <c r="S521" s="2" t="s">
        <v>3155</v>
      </c>
      <c r="T521" s="166"/>
      <c r="U521" s="166"/>
      <c r="V521" s="189"/>
      <c r="W521" s="173"/>
      <c r="X521" s="174"/>
      <c r="Y521" s="174"/>
      <c r="Z521" s="181"/>
      <c r="AA521" s="166"/>
      <c r="AB521" s="171"/>
      <c r="AC521" s="166"/>
      <c r="AD521" s="166"/>
      <c r="AE521" s="166"/>
      <c r="AF521" s="166"/>
      <c r="AG521" s="166"/>
      <c r="AH521" s="166"/>
      <c r="AI521" s="166"/>
      <c r="AJ521" s="17"/>
      <c r="AK521" s="17"/>
      <c r="AL521" s="17"/>
      <c r="AM521" s="17"/>
      <c r="AN521" s="2"/>
      <c r="AO521" s="2"/>
    </row>
    <row r="522" spans="2:41" ht="116">
      <c r="B522" s="2"/>
      <c r="C522" s="2"/>
      <c r="D522" s="37" t="s">
        <v>2995</v>
      </c>
      <c r="E522" s="2"/>
      <c r="F522" s="2"/>
      <c r="G522" s="2"/>
      <c r="H522" s="2"/>
      <c r="I522" s="18" t="s">
        <v>376</v>
      </c>
      <c r="J522" s="2"/>
      <c r="K522" s="213" t="s">
        <v>2998</v>
      </c>
      <c r="L522" s="209" t="s">
        <v>2784</v>
      </c>
      <c r="M522" s="239" t="s">
        <v>1598</v>
      </c>
      <c r="N522" s="217"/>
      <c r="O522" s="216" t="s">
        <v>22</v>
      </c>
      <c r="P522" s="215" t="s">
        <v>2996</v>
      </c>
      <c r="Q522" s="215" t="s">
        <v>2997</v>
      </c>
      <c r="R522" s="2"/>
      <c r="S522" s="17"/>
      <c r="T522" s="166"/>
      <c r="U522" s="166"/>
      <c r="V522" s="189"/>
      <c r="W522" s="173"/>
      <c r="X522" s="174"/>
      <c r="Y522" s="174"/>
      <c r="Z522" s="181"/>
      <c r="AA522" s="166"/>
      <c r="AB522" s="171"/>
      <c r="AC522" s="166"/>
      <c r="AD522" s="166"/>
      <c r="AE522" s="166"/>
      <c r="AF522" s="166"/>
      <c r="AG522" s="166"/>
      <c r="AH522" s="166"/>
      <c r="AI522" s="166"/>
      <c r="AJ522" s="17"/>
      <c r="AK522" s="17"/>
      <c r="AL522" s="17"/>
      <c r="AM522" s="17"/>
      <c r="AN522" s="2"/>
      <c r="AO522" s="2"/>
    </row>
    <row r="523" spans="2:41">
      <c r="B523" s="2">
        <v>440</v>
      </c>
      <c r="C523" s="2">
        <v>1</v>
      </c>
      <c r="D523" s="37" t="s">
        <v>263</v>
      </c>
      <c r="K523" s="7"/>
      <c r="L523" s="7"/>
      <c r="M523" s="7"/>
      <c r="R523" s="2"/>
      <c r="S523" s="2"/>
      <c r="T523" s="166"/>
      <c r="U523" s="166"/>
      <c r="V523" s="166"/>
      <c r="W523" s="173"/>
      <c r="X523" s="174"/>
      <c r="Y523" s="174"/>
      <c r="Z523" s="181"/>
      <c r="AA523" s="166"/>
      <c r="AB523" s="166"/>
      <c r="AC523" s="166"/>
      <c r="AD523" s="166"/>
      <c r="AE523" s="166"/>
      <c r="AF523" s="166"/>
      <c r="AG523" s="166"/>
      <c r="AH523" s="166"/>
      <c r="AI523" s="166"/>
      <c r="AJ523" s="17"/>
      <c r="AK523" s="17"/>
      <c r="AL523" s="17"/>
      <c r="AM523" s="17"/>
      <c r="AN523" s="2"/>
      <c r="AO523" s="2"/>
    </row>
    <row r="524" spans="2:41" ht="43.5">
      <c r="B524" s="2">
        <v>441</v>
      </c>
      <c r="C524" s="2"/>
      <c r="D524" s="37"/>
      <c r="E524" s="18" t="s">
        <v>273</v>
      </c>
      <c r="F524" s="2"/>
      <c r="G524" s="2"/>
      <c r="H524" s="2"/>
      <c r="I524" s="2" t="s">
        <v>376</v>
      </c>
      <c r="J524" s="2"/>
      <c r="K524" s="213" t="s">
        <v>3156</v>
      </c>
      <c r="L524" s="213"/>
      <c r="M524" s="213" t="s">
        <v>3013</v>
      </c>
      <c r="N524" s="2"/>
      <c r="O524" s="2"/>
      <c r="P524" s="2"/>
      <c r="Q524" s="2"/>
      <c r="R524" s="2"/>
      <c r="S524" s="2"/>
      <c r="T524" s="166"/>
      <c r="U524" s="166"/>
      <c r="V524" s="166"/>
      <c r="W524" s="173"/>
      <c r="X524" s="174"/>
      <c r="Y524" s="174"/>
      <c r="Z524" s="181"/>
      <c r="AA524" s="166"/>
      <c r="AB524" s="166"/>
      <c r="AC524" s="166"/>
      <c r="AD524" s="166"/>
      <c r="AE524" s="166"/>
      <c r="AF524" s="166"/>
      <c r="AG524" s="166"/>
      <c r="AH524" s="166"/>
      <c r="AI524" s="166"/>
      <c r="AJ524" s="17"/>
      <c r="AK524" s="17"/>
      <c r="AL524" s="17"/>
      <c r="AM524" s="17"/>
      <c r="AN524" s="2"/>
      <c r="AO524" s="2"/>
    </row>
    <row r="525" spans="2:41">
      <c r="B525" s="2">
        <v>442</v>
      </c>
      <c r="C525" s="2"/>
      <c r="D525" s="37"/>
      <c r="E525" s="2" t="s">
        <v>271</v>
      </c>
      <c r="F525" s="2"/>
      <c r="G525" s="2"/>
      <c r="H525" s="2"/>
      <c r="I525" s="2"/>
      <c r="J525" s="2"/>
      <c r="K525" s="213"/>
      <c r="L525" s="213"/>
      <c r="M525" s="213"/>
      <c r="N525" s="2"/>
      <c r="O525" s="2"/>
      <c r="P525" s="2"/>
      <c r="Q525" s="2"/>
      <c r="R525" s="2"/>
      <c r="S525" s="2"/>
      <c r="T525" s="166"/>
      <c r="U525" s="166"/>
      <c r="V525" s="166"/>
      <c r="W525" s="173"/>
      <c r="X525" s="174"/>
      <c r="Y525" s="174"/>
      <c r="Z525" s="181"/>
      <c r="AA525" s="166"/>
      <c r="AB525" s="166"/>
      <c r="AC525" s="166"/>
      <c r="AD525" s="166"/>
      <c r="AE525" s="166"/>
      <c r="AF525" s="166"/>
      <c r="AG525" s="166"/>
      <c r="AH525" s="166"/>
      <c r="AI525" s="166"/>
      <c r="AJ525" s="17"/>
      <c r="AK525" s="17"/>
      <c r="AL525" s="17"/>
      <c r="AM525" s="17"/>
      <c r="AN525" s="2"/>
      <c r="AO525" s="2"/>
    </row>
    <row r="526" spans="2:41">
      <c r="B526" s="2">
        <v>443</v>
      </c>
      <c r="C526" s="2"/>
      <c r="D526" s="37"/>
      <c r="E526" s="2" t="s">
        <v>265</v>
      </c>
      <c r="F526" s="2"/>
      <c r="G526" s="2"/>
      <c r="H526" s="2"/>
      <c r="I526" s="2"/>
      <c r="J526" s="2"/>
      <c r="K526" s="213"/>
      <c r="L526" s="213"/>
      <c r="M526" s="213"/>
      <c r="N526" s="2"/>
      <c r="O526" s="2"/>
      <c r="P526" s="2"/>
      <c r="Q526" s="2"/>
      <c r="R526" s="2"/>
      <c r="S526" s="2"/>
      <c r="T526" s="166"/>
      <c r="U526" s="166"/>
      <c r="V526" s="166"/>
      <c r="W526" s="173"/>
      <c r="X526" s="174"/>
      <c r="Y526" s="174"/>
      <c r="Z526" s="181"/>
      <c r="AA526" s="166"/>
      <c r="AB526" s="166"/>
      <c r="AC526" s="166"/>
      <c r="AD526" s="166"/>
      <c r="AE526" s="166"/>
      <c r="AF526" s="166"/>
      <c r="AG526" s="166"/>
      <c r="AH526" s="166"/>
      <c r="AI526" s="166"/>
      <c r="AJ526" s="17"/>
      <c r="AK526" s="17"/>
      <c r="AL526" s="17"/>
      <c r="AM526" s="17"/>
      <c r="AN526" s="2"/>
      <c r="AO526" s="2"/>
    </row>
    <row r="527" spans="2:41">
      <c r="B527" s="2">
        <v>444</v>
      </c>
      <c r="C527" s="2"/>
      <c r="D527" s="37"/>
      <c r="E527" s="2" t="s">
        <v>298</v>
      </c>
      <c r="F527" s="2"/>
      <c r="G527" s="2"/>
      <c r="H527" s="2"/>
      <c r="I527" s="2"/>
      <c r="J527" s="2"/>
      <c r="K527" s="213"/>
      <c r="L527" s="213"/>
      <c r="M527" s="213"/>
      <c r="N527" s="2"/>
      <c r="O527" s="2"/>
      <c r="P527" s="2"/>
      <c r="Q527" s="2"/>
      <c r="R527" s="2"/>
      <c r="S527" s="2"/>
      <c r="T527" s="166"/>
      <c r="U527" s="166"/>
      <c r="V527" s="166"/>
      <c r="W527" s="173"/>
      <c r="X527" s="174"/>
      <c r="Y527" s="174"/>
      <c r="Z527" s="181"/>
      <c r="AA527" s="166"/>
      <c r="AB527" s="166"/>
      <c r="AC527" s="166"/>
      <c r="AD527" s="166"/>
      <c r="AE527" s="166"/>
      <c r="AF527" s="166"/>
      <c r="AG527" s="166"/>
      <c r="AH527" s="166"/>
      <c r="AI527" s="166"/>
      <c r="AJ527" s="17"/>
      <c r="AK527" s="17"/>
      <c r="AL527" s="17"/>
      <c r="AM527" s="17"/>
      <c r="AN527" s="2"/>
      <c r="AO527" s="2"/>
    </row>
    <row r="528" spans="2:41">
      <c r="B528" s="2">
        <v>445</v>
      </c>
      <c r="C528" s="2"/>
      <c r="D528" s="37"/>
      <c r="E528" s="2" t="s">
        <v>299</v>
      </c>
      <c r="F528" s="2"/>
      <c r="G528" s="2"/>
      <c r="H528" s="2"/>
      <c r="I528" s="2"/>
      <c r="J528" s="2"/>
      <c r="K528" s="213"/>
      <c r="L528" s="213"/>
      <c r="M528" s="213"/>
      <c r="N528" s="2"/>
      <c r="O528" s="2"/>
      <c r="P528" s="2"/>
      <c r="Q528" s="2"/>
      <c r="R528" s="2"/>
      <c r="S528" s="2"/>
      <c r="T528" s="166"/>
      <c r="U528" s="166"/>
      <c r="V528" s="166"/>
      <c r="W528" s="173"/>
      <c r="X528" s="174"/>
      <c r="Y528" s="174"/>
      <c r="Z528" s="181"/>
      <c r="AA528" s="166"/>
      <c r="AB528" s="166"/>
      <c r="AC528" s="166"/>
      <c r="AD528" s="166"/>
      <c r="AE528" s="166"/>
      <c r="AF528" s="166"/>
      <c r="AG528" s="166"/>
      <c r="AH528" s="166"/>
      <c r="AI528" s="166"/>
      <c r="AJ528" s="17"/>
      <c r="AK528" s="17"/>
      <c r="AL528" s="17"/>
      <c r="AM528" s="17"/>
      <c r="AN528" s="2"/>
      <c r="AO528" s="2"/>
    </row>
    <row r="529" spans="2:41" ht="43.5">
      <c r="B529" s="2">
        <v>446</v>
      </c>
      <c r="C529" s="2"/>
      <c r="D529" s="229"/>
      <c r="E529" s="2" t="s">
        <v>300</v>
      </c>
      <c r="F529" s="2"/>
      <c r="G529" s="2"/>
      <c r="H529" s="2"/>
      <c r="I529" s="2" t="s">
        <v>376</v>
      </c>
      <c r="J529" s="2"/>
      <c r="K529" s="213" t="s">
        <v>3157</v>
      </c>
      <c r="L529" s="209" t="s">
        <v>2321</v>
      </c>
      <c r="M529" s="218" t="s">
        <v>2322</v>
      </c>
      <c r="N529" s="213" t="s">
        <v>2323</v>
      </c>
      <c r="O529" s="216" t="s">
        <v>22</v>
      </c>
      <c r="P529" s="215" t="s">
        <v>2510</v>
      </c>
      <c r="Q529" s="219" t="s">
        <v>2509</v>
      </c>
      <c r="R529" s="2"/>
      <c r="S529" s="2"/>
      <c r="T529" s="166"/>
      <c r="U529" s="166"/>
      <c r="V529" s="166"/>
      <c r="W529" s="173"/>
      <c r="X529" s="174"/>
      <c r="Y529" s="174"/>
      <c r="Z529" s="181"/>
      <c r="AA529" s="166"/>
      <c r="AB529" s="166"/>
      <c r="AC529" s="166"/>
      <c r="AD529" s="166"/>
      <c r="AE529" s="166"/>
      <c r="AF529" s="166"/>
      <c r="AG529" s="166"/>
      <c r="AH529" s="166"/>
      <c r="AI529" s="166"/>
      <c r="AJ529" s="17"/>
      <c r="AK529" s="17"/>
      <c r="AL529" s="17"/>
      <c r="AM529" s="17"/>
      <c r="AN529" s="2"/>
      <c r="AO529" s="2"/>
    </row>
    <row r="530" spans="2:41" ht="29">
      <c r="B530" s="2">
        <v>447</v>
      </c>
      <c r="C530" s="2"/>
      <c r="D530" s="37"/>
      <c r="E530" s="2" t="s">
        <v>266</v>
      </c>
      <c r="F530" s="2"/>
      <c r="G530" s="2"/>
      <c r="H530" s="2"/>
      <c r="I530" s="2"/>
      <c r="J530" s="2"/>
      <c r="K530" s="213"/>
      <c r="L530" s="213"/>
      <c r="M530" s="213"/>
      <c r="N530" s="2"/>
      <c r="O530" s="2"/>
      <c r="P530" s="2"/>
      <c r="Q530" s="2"/>
      <c r="R530" s="2"/>
      <c r="S530" s="2"/>
      <c r="T530" s="166"/>
      <c r="U530" s="166"/>
      <c r="V530" s="166"/>
      <c r="W530" s="173"/>
      <c r="X530" s="174"/>
      <c r="Y530" s="174"/>
      <c r="Z530" s="181"/>
      <c r="AA530" s="166"/>
      <c r="AB530" s="166"/>
      <c r="AC530" s="166"/>
      <c r="AD530" s="166"/>
      <c r="AE530" s="166"/>
      <c r="AF530" s="166"/>
      <c r="AG530" s="166"/>
      <c r="AH530" s="166"/>
      <c r="AI530" s="166"/>
      <c r="AJ530" s="17"/>
      <c r="AK530" s="17"/>
      <c r="AL530" s="17"/>
      <c r="AM530" s="17"/>
      <c r="AN530" s="2"/>
      <c r="AO530" s="2"/>
    </row>
    <row r="531" spans="2:41" ht="29">
      <c r="B531" s="2">
        <v>448</v>
      </c>
      <c r="C531" s="2"/>
      <c r="D531" s="37"/>
      <c r="E531" s="2" t="s">
        <v>267</v>
      </c>
      <c r="F531" s="2"/>
      <c r="G531" s="2"/>
      <c r="H531" s="2"/>
      <c r="I531" s="2"/>
      <c r="J531" s="2"/>
      <c r="K531" s="213"/>
      <c r="L531" s="213"/>
      <c r="M531" s="213"/>
      <c r="N531" s="2"/>
      <c r="O531" s="2"/>
      <c r="P531" s="2"/>
      <c r="Q531" s="2"/>
      <c r="R531" s="2"/>
      <c r="S531" s="2"/>
      <c r="T531" s="166"/>
      <c r="U531" s="166"/>
      <c r="V531" s="166"/>
      <c r="W531" s="173"/>
      <c r="X531" s="174"/>
      <c r="Y531" s="174"/>
      <c r="Z531" s="181"/>
      <c r="AA531" s="166"/>
      <c r="AB531" s="166"/>
      <c r="AC531" s="166"/>
      <c r="AD531" s="166"/>
      <c r="AE531" s="166"/>
      <c r="AF531" s="166"/>
      <c r="AG531" s="166"/>
      <c r="AH531" s="166"/>
      <c r="AI531" s="166"/>
      <c r="AJ531" s="17"/>
      <c r="AK531" s="17"/>
      <c r="AL531" s="17"/>
      <c r="AM531" s="17"/>
      <c r="AN531" s="2"/>
      <c r="AO531" s="2"/>
    </row>
    <row r="532" spans="2:41">
      <c r="B532" s="2">
        <v>449</v>
      </c>
      <c r="C532" s="2"/>
      <c r="D532" s="37"/>
      <c r="E532" s="2" t="s">
        <v>264</v>
      </c>
      <c r="F532" s="2"/>
      <c r="G532" s="2"/>
      <c r="H532" s="2"/>
      <c r="I532" s="2"/>
      <c r="J532" s="2"/>
      <c r="K532" s="213"/>
      <c r="L532" s="213"/>
      <c r="M532" s="213"/>
      <c r="N532" s="2"/>
      <c r="O532" s="2"/>
      <c r="P532" s="2"/>
      <c r="Q532" s="2"/>
      <c r="R532" s="2"/>
      <c r="S532" s="2"/>
      <c r="T532" s="166"/>
      <c r="U532" s="166"/>
      <c r="V532" s="166"/>
      <c r="W532" s="173"/>
      <c r="X532" s="174"/>
      <c r="Y532" s="174"/>
      <c r="Z532" s="181"/>
      <c r="AA532" s="166"/>
      <c r="AB532" s="166"/>
      <c r="AC532" s="166"/>
      <c r="AD532" s="166"/>
      <c r="AE532" s="166"/>
      <c r="AF532" s="166"/>
      <c r="AG532" s="166"/>
      <c r="AH532" s="166"/>
      <c r="AI532" s="166"/>
      <c r="AJ532" s="17"/>
      <c r="AK532" s="17"/>
      <c r="AL532" s="17"/>
      <c r="AM532" s="17"/>
      <c r="AN532" s="2"/>
      <c r="AO532" s="2"/>
    </row>
    <row r="533" spans="2:41">
      <c r="B533" s="2">
        <v>450</v>
      </c>
      <c r="C533" s="2"/>
      <c r="D533" s="37"/>
      <c r="E533" s="18" t="s">
        <v>272</v>
      </c>
      <c r="F533" s="2"/>
      <c r="G533" s="2"/>
      <c r="H533" s="2"/>
      <c r="I533" s="2"/>
      <c r="J533" s="2"/>
      <c r="K533" s="213"/>
      <c r="L533" s="213"/>
      <c r="M533" s="213"/>
      <c r="N533" s="2"/>
      <c r="O533" s="2"/>
      <c r="P533" s="2"/>
      <c r="Q533" s="2"/>
      <c r="R533" s="2"/>
      <c r="S533" s="2"/>
      <c r="T533" s="166"/>
      <c r="U533" s="166"/>
      <c r="V533" s="166"/>
      <c r="W533" s="173"/>
      <c r="X533" s="174"/>
      <c r="Y533" s="174"/>
      <c r="Z533" s="181"/>
      <c r="AA533" s="166"/>
      <c r="AB533" s="166"/>
      <c r="AC533" s="166"/>
      <c r="AD533" s="166"/>
      <c r="AE533" s="166"/>
      <c r="AF533" s="166"/>
      <c r="AG533" s="166"/>
      <c r="AH533" s="166"/>
      <c r="AI533" s="166"/>
      <c r="AJ533" s="17"/>
      <c r="AK533" s="17"/>
      <c r="AL533" s="17"/>
      <c r="AM533" s="17"/>
      <c r="AN533" s="2"/>
      <c r="AO533" s="2"/>
    </row>
    <row r="534" spans="2:41">
      <c r="B534" s="2">
        <v>451</v>
      </c>
      <c r="C534" s="2"/>
      <c r="D534" s="37"/>
      <c r="E534" s="2" t="s">
        <v>269</v>
      </c>
      <c r="F534" s="2"/>
      <c r="G534" s="2"/>
      <c r="H534" s="2"/>
      <c r="I534" s="2"/>
      <c r="J534" s="2"/>
      <c r="K534" s="213"/>
      <c r="L534" s="213"/>
      <c r="M534" s="213"/>
      <c r="N534" s="2"/>
      <c r="O534" s="2"/>
      <c r="P534" s="2"/>
      <c r="Q534" s="2"/>
      <c r="R534" s="2"/>
      <c r="S534" s="2"/>
      <c r="T534" s="166"/>
      <c r="U534" s="166"/>
      <c r="V534" s="166"/>
      <c r="W534" s="173"/>
      <c r="X534" s="174"/>
      <c r="Y534" s="174"/>
      <c r="Z534" s="181"/>
      <c r="AA534" s="166"/>
      <c r="AB534" s="166"/>
      <c r="AC534" s="166"/>
      <c r="AD534" s="166"/>
      <c r="AE534" s="166"/>
      <c r="AF534" s="166"/>
      <c r="AG534" s="166"/>
      <c r="AH534" s="166"/>
      <c r="AI534" s="166"/>
      <c r="AJ534" s="17"/>
      <c r="AK534" s="17"/>
      <c r="AL534" s="17"/>
      <c r="AM534" s="17"/>
      <c r="AN534" s="2"/>
      <c r="AO534" s="2"/>
    </row>
    <row r="535" spans="2:41">
      <c r="B535" s="2">
        <v>452</v>
      </c>
      <c r="C535" s="2"/>
      <c r="D535" s="37"/>
      <c r="E535" s="2" t="s">
        <v>270</v>
      </c>
      <c r="F535" s="2"/>
      <c r="G535" s="2"/>
      <c r="H535" s="2"/>
      <c r="I535" s="2"/>
      <c r="J535" s="2"/>
      <c r="K535" s="213"/>
      <c r="L535" s="213"/>
      <c r="M535" s="213"/>
      <c r="N535" s="2"/>
      <c r="O535" s="2"/>
      <c r="P535" s="2"/>
      <c r="Q535" s="2"/>
      <c r="R535" s="2"/>
      <c r="S535" s="2"/>
      <c r="T535" s="166"/>
      <c r="U535" s="166"/>
      <c r="V535" s="166"/>
      <c r="W535" s="173"/>
      <c r="X535" s="174"/>
      <c r="Y535" s="174"/>
      <c r="Z535" s="181"/>
      <c r="AA535" s="166"/>
      <c r="AB535" s="166"/>
      <c r="AC535" s="166"/>
      <c r="AD535" s="166"/>
      <c r="AE535" s="166"/>
      <c r="AF535" s="166"/>
      <c r="AG535" s="166"/>
      <c r="AH535" s="166"/>
      <c r="AI535" s="166"/>
      <c r="AJ535" s="17"/>
      <c r="AK535" s="17"/>
      <c r="AL535" s="17"/>
      <c r="AM535" s="17"/>
      <c r="AN535" s="2"/>
      <c r="AO535" s="2"/>
    </row>
    <row r="536" spans="2:41" ht="151.5" customHeight="1">
      <c r="B536" s="2">
        <v>453</v>
      </c>
      <c r="C536" s="2"/>
      <c r="D536" s="37" t="s">
        <v>274</v>
      </c>
      <c r="E536" s="2" t="s">
        <v>920</v>
      </c>
      <c r="F536" s="2"/>
      <c r="G536" s="2"/>
      <c r="H536" s="2"/>
      <c r="I536" s="2"/>
      <c r="J536" s="2"/>
      <c r="K536" s="213"/>
      <c r="L536" s="213"/>
      <c r="M536" s="213"/>
      <c r="N536" s="2"/>
      <c r="O536" s="2"/>
      <c r="P536" s="2"/>
      <c r="Q536" s="2"/>
      <c r="R536" s="2"/>
      <c r="S536" s="2"/>
      <c r="T536" s="166" t="s">
        <v>376</v>
      </c>
      <c r="U536" s="166"/>
      <c r="V536" s="166" t="s">
        <v>919</v>
      </c>
      <c r="W536" s="167" t="s">
        <v>823</v>
      </c>
      <c r="X536" s="166" t="s">
        <v>664</v>
      </c>
      <c r="Y536" s="167">
        <v>0</v>
      </c>
      <c r="Z536" s="168" t="s">
        <v>22</v>
      </c>
      <c r="AA536" s="167" t="s">
        <v>710</v>
      </c>
      <c r="AB536" s="167" t="s">
        <v>921</v>
      </c>
      <c r="AC536" s="166"/>
      <c r="AD536" s="166"/>
      <c r="AE536" s="166"/>
      <c r="AF536" s="166"/>
      <c r="AG536" s="166"/>
      <c r="AH536" s="166"/>
      <c r="AI536" s="166"/>
      <c r="AJ536" s="17"/>
      <c r="AK536" s="17"/>
      <c r="AL536" s="17" t="s">
        <v>605</v>
      </c>
      <c r="AM536" s="17"/>
      <c r="AN536" s="2"/>
      <c r="AO536" s="2"/>
    </row>
    <row r="537" spans="2:41" ht="43.5">
      <c r="B537" s="2">
        <v>454</v>
      </c>
      <c r="C537" s="2"/>
      <c r="E537" s="2" t="s">
        <v>867</v>
      </c>
      <c r="F537" s="2"/>
      <c r="G537" s="2"/>
      <c r="H537" s="2"/>
      <c r="I537" s="2"/>
      <c r="J537" s="2"/>
      <c r="K537" s="213"/>
      <c r="L537" s="213"/>
      <c r="M537" s="213"/>
      <c r="N537" s="2"/>
      <c r="O537" s="2"/>
      <c r="P537" s="2"/>
      <c r="Q537" s="2"/>
      <c r="R537" s="2"/>
      <c r="S537" s="2"/>
      <c r="T537" s="166" t="s">
        <v>376</v>
      </c>
      <c r="U537" s="166"/>
      <c r="V537" s="166" t="s">
        <v>866</v>
      </c>
      <c r="W537" s="167" t="s">
        <v>823</v>
      </c>
      <c r="X537" s="166" t="s">
        <v>664</v>
      </c>
      <c r="Y537" s="167">
        <v>0</v>
      </c>
      <c r="Z537" s="168" t="s">
        <v>22</v>
      </c>
      <c r="AA537" s="167" t="s">
        <v>680</v>
      </c>
      <c r="AB537" s="167" t="s">
        <v>868</v>
      </c>
      <c r="AC537" s="166"/>
      <c r="AD537" s="166"/>
      <c r="AE537" s="166"/>
      <c r="AF537" s="166"/>
      <c r="AG537" s="166"/>
      <c r="AH537" s="166"/>
      <c r="AI537" s="166"/>
      <c r="AJ537" s="17"/>
      <c r="AK537" s="17"/>
      <c r="AL537" s="17" t="s">
        <v>605</v>
      </c>
      <c r="AM537" s="17"/>
      <c r="AN537" s="2"/>
      <c r="AO537" s="2"/>
    </row>
    <row r="538" spans="2:41" ht="29">
      <c r="B538" s="2">
        <v>455</v>
      </c>
      <c r="C538" s="2"/>
      <c r="D538" s="37" t="s">
        <v>295</v>
      </c>
      <c r="E538" s="2"/>
      <c r="F538" s="2"/>
      <c r="G538" s="2"/>
      <c r="H538" s="2"/>
      <c r="I538" s="2"/>
      <c r="J538" s="2"/>
      <c r="K538" s="213"/>
      <c r="L538" s="213"/>
      <c r="M538" s="213"/>
      <c r="N538" s="2"/>
      <c r="O538" s="2"/>
      <c r="P538" s="2"/>
      <c r="Q538" s="2"/>
      <c r="R538" s="2"/>
      <c r="S538" s="2"/>
      <c r="T538" s="2"/>
      <c r="U538" s="2"/>
      <c r="V538" s="17"/>
      <c r="W538" s="24"/>
      <c r="X538" s="26"/>
      <c r="Y538" s="26"/>
      <c r="Z538" s="29"/>
      <c r="AA538" s="17"/>
      <c r="AB538" s="17"/>
      <c r="AC538" s="17"/>
      <c r="AD538" s="17"/>
      <c r="AE538" s="17"/>
      <c r="AF538" s="17"/>
      <c r="AG538" s="17"/>
      <c r="AH538" s="17"/>
      <c r="AI538" s="17"/>
      <c r="AJ538" s="17"/>
      <c r="AK538" s="17"/>
      <c r="AL538" s="17"/>
      <c r="AM538" s="17"/>
      <c r="AN538" s="2"/>
      <c r="AO538" s="2"/>
    </row>
    <row r="539" spans="2:41">
      <c r="B539" s="2">
        <v>456</v>
      </c>
    </row>
    <row r="540" spans="2:41" ht="43.5">
      <c r="B540" s="2">
        <v>457</v>
      </c>
      <c r="D540" s="230" t="s">
        <v>2637</v>
      </c>
      <c r="I540" s="2" t="s">
        <v>376</v>
      </c>
      <c r="K540" s="206" t="s">
        <v>2636</v>
      </c>
      <c r="L540" s="209" t="s">
        <v>2321</v>
      </c>
      <c r="M540" s="218" t="s">
        <v>2322</v>
      </c>
      <c r="N540" s="213" t="s">
        <v>2323</v>
      </c>
      <c r="O540" s="216" t="s">
        <v>22</v>
      </c>
      <c r="P540" s="215" t="s">
        <v>2634</v>
      </c>
      <c r="Q540" s="219" t="s">
        <v>2635</v>
      </c>
      <c r="S540" s="7" t="s">
        <v>3148</v>
      </c>
    </row>
    <row r="541" spans="2:41">
      <c r="S541" s="16"/>
    </row>
    <row r="542" spans="2:41">
      <c r="S542" s="16"/>
    </row>
    <row r="543" spans="2:41">
      <c r="S543" s="16"/>
    </row>
    <row r="544" spans="2:41">
      <c r="I544" s="2" t="s">
        <v>376</v>
      </c>
      <c r="S544" s="16"/>
    </row>
    <row r="545" spans="2:19" ht="72.5">
      <c r="B545" s="7">
        <v>1</v>
      </c>
      <c r="D545" s="7" t="s">
        <v>2874</v>
      </c>
      <c r="E545" s="7" t="s">
        <v>2875</v>
      </c>
      <c r="I545" s="2" t="s">
        <v>376</v>
      </c>
      <c r="K545" s="206" t="s">
        <v>2889</v>
      </c>
      <c r="L545" s="206" t="s">
        <v>18</v>
      </c>
      <c r="M545" s="206" t="s">
        <v>2876</v>
      </c>
      <c r="P545" s="7" t="s">
        <v>619</v>
      </c>
      <c r="Q545" s="7" t="s">
        <v>2877</v>
      </c>
      <c r="S545" s="16"/>
    </row>
    <row r="546" spans="2:19" ht="159.5">
      <c r="E546" s="7" t="s">
        <v>2878</v>
      </c>
      <c r="I546" s="2" t="s">
        <v>376</v>
      </c>
      <c r="K546" s="206" t="s">
        <v>2888</v>
      </c>
      <c r="M546" s="206" t="s">
        <v>2876</v>
      </c>
      <c r="P546" s="7" t="s">
        <v>626</v>
      </c>
      <c r="Q546" s="7" t="s">
        <v>2879</v>
      </c>
      <c r="S546" s="16"/>
    </row>
    <row r="547" spans="2:19" ht="58">
      <c r="E547" s="7" t="s">
        <v>2880</v>
      </c>
      <c r="I547" s="2" t="s">
        <v>376</v>
      </c>
      <c r="K547" s="206" t="s">
        <v>2881</v>
      </c>
      <c r="M547" s="206" t="s">
        <v>2876</v>
      </c>
      <c r="P547" s="7" t="s">
        <v>630</v>
      </c>
      <c r="Q547" s="7" t="s">
        <v>2879</v>
      </c>
      <c r="S547" s="16"/>
    </row>
    <row r="548" spans="2:19" ht="159.5">
      <c r="E548" s="7" t="s">
        <v>2882</v>
      </c>
      <c r="I548" s="2" t="s">
        <v>376</v>
      </c>
      <c r="K548" s="206" t="s">
        <v>2883</v>
      </c>
      <c r="M548" s="206" t="s">
        <v>2876</v>
      </c>
      <c r="P548" s="7" t="s">
        <v>632</v>
      </c>
      <c r="Q548" s="7" t="s">
        <v>2879</v>
      </c>
      <c r="S548" s="16"/>
    </row>
    <row r="549" spans="2:19" ht="72.5">
      <c r="E549" s="7" t="s">
        <v>2884</v>
      </c>
      <c r="I549" s="2" t="s">
        <v>376</v>
      </c>
      <c r="K549" s="206" t="s">
        <v>2887</v>
      </c>
      <c r="M549" s="206" t="s">
        <v>2876</v>
      </c>
      <c r="P549" s="7" t="s">
        <v>2885</v>
      </c>
      <c r="Q549" s="7" t="s">
        <v>2886</v>
      </c>
      <c r="S549" s="16"/>
    </row>
    <row r="550" spans="2:19" ht="116">
      <c r="E550" s="7" t="s">
        <v>2890</v>
      </c>
      <c r="I550" s="2" t="s">
        <v>376</v>
      </c>
      <c r="K550" s="206" t="s">
        <v>2891</v>
      </c>
      <c r="M550" s="206" t="s">
        <v>2876</v>
      </c>
      <c r="P550" s="7" t="s">
        <v>2892</v>
      </c>
      <c r="Q550" s="7" t="s">
        <v>2886</v>
      </c>
      <c r="S550" s="16"/>
    </row>
    <row r="551" spans="2:19" ht="267">
      <c r="E551" s="7" t="s">
        <v>2893</v>
      </c>
      <c r="I551" s="2" t="s">
        <v>376</v>
      </c>
      <c r="K551" s="206" t="s">
        <v>2896</v>
      </c>
      <c r="M551" s="206" t="s">
        <v>2876</v>
      </c>
      <c r="P551" s="7" t="s">
        <v>2894</v>
      </c>
      <c r="Q551" s="7" t="s">
        <v>2895</v>
      </c>
      <c r="S551" s="16"/>
    </row>
    <row r="552" spans="2:19" ht="264">
      <c r="E552" s="7" t="s">
        <v>2897</v>
      </c>
      <c r="I552" s="2" t="s">
        <v>376</v>
      </c>
      <c r="K552" s="206" t="s">
        <v>2899</v>
      </c>
      <c r="M552" s="206" t="s">
        <v>2876</v>
      </c>
      <c r="P552" s="7" t="s">
        <v>2898</v>
      </c>
      <c r="Q552" s="7" t="s">
        <v>2895</v>
      </c>
      <c r="S552" s="16"/>
    </row>
    <row r="553" spans="2:19">
      <c r="S553" s="16"/>
    </row>
    <row r="554" spans="2:19">
      <c r="S554" s="16"/>
    </row>
    <row r="555" spans="2:19">
      <c r="S555" s="16"/>
    </row>
    <row r="556" spans="2:19">
      <c r="S556" s="16"/>
    </row>
    <row r="557" spans="2:19">
      <c r="S557" s="16"/>
    </row>
    <row r="558" spans="2:19">
      <c r="S558" s="16"/>
    </row>
    <row r="559" spans="2:19">
      <c r="S559" s="16"/>
    </row>
    <row r="560" spans="2:19">
      <c r="S560" s="16"/>
    </row>
    <row r="561" spans="19:19">
      <c r="S561" s="16"/>
    </row>
    <row r="562" spans="19:19">
      <c r="S562" s="16"/>
    </row>
    <row r="563" spans="19:19">
      <c r="S563" s="16"/>
    </row>
    <row r="564" spans="19:19">
      <c r="S564" s="16"/>
    </row>
    <row r="565" spans="19:19">
      <c r="S565" s="16"/>
    </row>
    <row r="566" spans="19:19">
      <c r="S566" s="16"/>
    </row>
    <row r="567" spans="19:19">
      <c r="S567" s="16"/>
    </row>
    <row r="568" spans="19:19">
      <c r="S568" s="16"/>
    </row>
    <row r="569" spans="19:19">
      <c r="S569" s="16"/>
    </row>
    <row r="570" spans="19:19">
      <c r="S570" s="16"/>
    </row>
    <row r="571" spans="19:19">
      <c r="S571" s="16"/>
    </row>
    <row r="572" spans="19:19">
      <c r="S572" s="16"/>
    </row>
    <row r="573" spans="19:19">
      <c r="S573" s="16"/>
    </row>
    <row r="574" spans="19:19">
      <c r="S574" s="16"/>
    </row>
    <row r="575" spans="19:19">
      <c r="S575" s="16"/>
    </row>
    <row r="576" spans="19:19">
      <c r="S576" s="16"/>
    </row>
    <row r="577" spans="19:19">
      <c r="S577" s="16"/>
    </row>
    <row r="578" spans="19:19">
      <c r="S578" s="16"/>
    </row>
    <row r="579" spans="19:19">
      <c r="S579" s="16"/>
    </row>
    <row r="580" spans="19:19">
      <c r="S580" s="16"/>
    </row>
    <row r="581" spans="19:19">
      <c r="S581" s="16"/>
    </row>
    <row r="582" spans="19:19">
      <c r="S582" s="16"/>
    </row>
    <row r="583" spans="19:19">
      <c r="S583" s="16"/>
    </row>
    <row r="584" spans="19:19">
      <c r="S584" s="16"/>
    </row>
    <row r="585" spans="19:19">
      <c r="S585" s="16"/>
    </row>
    <row r="586" spans="19:19">
      <c r="S586" s="16"/>
    </row>
    <row r="587" spans="19:19">
      <c r="S587" s="16"/>
    </row>
    <row r="588" spans="19:19">
      <c r="S588" s="16"/>
    </row>
    <row r="589" spans="19:19">
      <c r="S589" s="16"/>
    </row>
    <row r="590" spans="19:19">
      <c r="S590" s="16"/>
    </row>
    <row r="591" spans="19:19">
      <c r="S591" s="16"/>
    </row>
    <row r="592" spans="19:19">
      <c r="S592" s="16"/>
    </row>
    <row r="593" spans="19:19">
      <c r="S593" s="16"/>
    </row>
    <row r="594" spans="19:19">
      <c r="S594" s="16"/>
    </row>
    <row r="595" spans="19:19">
      <c r="S595" s="16"/>
    </row>
    <row r="596" spans="19:19">
      <c r="S596" s="16"/>
    </row>
    <row r="597" spans="19:19">
      <c r="S597" s="16"/>
    </row>
    <row r="598" spans="19:19">
      <c r="S598" s="16"/>
    </row>
    <row r="599" spans="19:19">
      <c r="S599" s="16"/>
    </row>
    <row r="600" spans="19:19">
      <c r="S600" s="16"/>
    </row>
    <row r="601" spans="19:19">
      <c r="S601" s="16"/>
    </row>
    <row r="602" spans="19:19">
      <c r="S602" s="16"/>
    </row>
    <row r="603" spans="19:19">
      <c r="S603" s="16"/>
    </row>
    <row r="604" spans="19:19">
      <c r="S604" s="16"/>
    </row>
  </sheetData>
  <autoFilter ref="A13:AN540"/>
  <mergeCells count="10">
    <mergeCell ref="E9:G9"/>
    <mergeCell ref="E10:G10"/>
    <mergeCell ref="E11:G11"/>
    <mergeCell ref="D5:E5"/>
    <mergeCell ref="C1:T1"/>
    <mergeCell ref="B6:D6"/>
    <mergeCell ref="E6:G6"/>
    <mergeCell ref="E7:G7"/>
    <mergeCell ref="E8:G8"/>
    <mergeCell ref="F2:H2"/>
  </mergeCells>
  <hyperlinks>
    <hyperlink ref="Z33" r:id="rId1" tooltip="GCC-CC7-PF-00000-CI-TSP-1001_00_3_General_Civil_Specification.pdf"/>
    <hyperlink ref="Z25" r:id="rId2" tooltip="GCC-CC7-PF-00000-CI-TSP-1001_00_3_General_Civil_Specification.pdf"/>
    <hyperlink ref="AH196" r:id="rId3" tooltip="GCC-CC7-PF-00000-CI-TSP-1001_00_3_General_Civil_Specification.pdf"/>
    <hyperlink ref="AH236" r:id="rId4" tooltip="GCC-CC7-PF-00000-CI-TSP-6001_00_2_Piperack_Design_Specification.docx"/>
    <hyperlink ref="Z237" r:id="rId5" tooltip="GCC-CC7-PF-00000-CI-TSP-6001_00_2_Piperack_Design_Specification.docx"/>
    <hyperlink ref="AH218" r:id="rId6" tooltip="GCC-CC7-PF-00000-SS-TSP-1002_00_1_General_Structural_Specification.pdf"/>
    <hyperlink ref="Z18" r:id="rId7" tooltip="GCC-CC7-PF-00000-PE-TSP-7001_00_1_Requirements_for_Package_units.pdf"/>
    <hyperlink ref="Z22" r:id="rId8" tooltip="GCC-CC7-PF-00000-ME-TSP-5006_00_1_Mechanical_Equipment_Design_Criteria.pdf"/>
    <hyperlink ref="AH68" r:id="rId9" tooltip="GCC-CC7-PF-00000-ME-TSP-5006_00_1_Mechanical_Equipment_Design_Criteria.pdf"/>
    <hyperlink ref="AH466" r:id="rId10" tooltip="GCC-CC7-PF-00000-ME-TSP-5006_00_1_Mechanical_Equipment_Design_Criteria.pdf"/>
    <hyperlink ref="AH32" r:id="rId11" tooltip="GCC-CC7-PF-00000-ME-TSP-5006_00_1_Mechanical_Equipment_Design_Criteria.pdf"/>
    <hyperlink ref="AH25" r:id="rId12" tooltip="GCC-CC7-PF-00000-ME-TSP-5006_00_1_Mechanical_Equipment_Design_Criteria.pdf"/>
    <hyperlink ref="AH31" r:id="rId13" tooltip="GCC-CC7-PF-00000-ME-TSP-5006_00_1_Mechanical_Equipment_Design_Criteria.pdf"/>
    <hyperlink ref="AH33" r:id="rId14" tooltip="GCC-CC7-PF-00000-ME-TSP-5006_00_1_Mechanical_Equipment_Design_Criteria.pdf"/>
    <hyperlink ref="AH57" r:id="rId15" tooltip="GCC-CC7-PF-00000-ME-TSP-5006_00_1_Mechanical_Equipment_Design_Criteria.pdf"/>
    <hyperlink ref="Z484" r:id="rId16" tooltip="GCC-CC7-PF-00000-FF-TSP-3008_00_1_PSTS_Development_Specifications.pdf"/>
    <hyperlink ref="AH183" r:id="rId17" tooltip="GCC-CC7-PF-00000-PA-TSP-5007_00_1_EQUIPMENT_AND_PIPING_PAINTING_SPECIFICATION.pdf"/>
    <hyperlink ref="AH189" r:id="rId18" tooltip="GCC-CC7-PF-00000-PA-TSP-5007_00_1_EQUIPMENT_AND_PIPING_PAINTING_SPECIFICATION.pdf"/>
    <hyperlink ref="AH262" r:id="rId19" tooltip="GCC-CC7-PF-00000-SQ-TSP-5012_00_1_Design_Specifications_for_Vessels_and_Apparatuses.pdf"/>
    <hyperlink ref="AH241" r:id="rId20" tooltip="GCC-CC7-PF-00000-SQ-TSP-5012_00_1_Design_Specifications_for_Vessels_and_Apparatuses.pdf"/>
    <hyperlink ref="AH312" r:id="rId21" tooltip="GCC-CC7-PF-00000-RQ-TSP-7002_00_1_Customer's_Specification_for_the_Supply_of_Pump_Units.pdf"/>
    <hyperlink ref="AH313" r:id="rId22" tooltip="GCC-CC7-PF-00000-RQ-TSP-7002_00_1_Customer's_Specification_for_the_Supply_of_Pump_Units.pdf"/>
    <hyperlink ref="AH322" r:id="rId23" tooltip="GCC-CC7-PF-00000-RQ-TSP-7002_00_1_Customer's_Specification_for_the_Supply_of_Pump_Units.pdf"/>
    <hyperlink ref="AH332" r:id="rId24" tooltip="GCC-CC7-PF-00000-RQ-TSP-7002_00_1_Customer's_Specification_for_the_Supply_of_Pump_Units.pdf"/>
    <hyperlink ref="AH330" r:id="rId25" tooltip="GCC-CC7-PF-00000-RQ-TSP-7002_00_1_Customer's_Specification_for_the_Supply_of_Pump_Units.pdf"/>
    <hyperlink ref="AH323" r:id="rId26" tooltip="GCC-CC7-PF-00000-RQ-TSP-7002_00_1_Customer's_Specification_for_the_Supply_of_Pump_Units.pdf"/>
    <hyperlink ref="Z34" r:id="rId27" tooltip="GCC-CC7-PF-00000-IN-TSP-8013_00_Bl.pdf"/>
    <hyperlink ref="AH44" r:id="rId28" tooltip="GCC-CC7-PF-00000-IN-TSP-8013_00_Bl.pdf"/>
    <hyperlink ref="AH392" r:id="rId29" tooltip="GCC-CC7-PF-00000-IN-TSP-8013_00_Bl.pdf"/>
    <hyperlink ref="Z30" r:id="rId30" tooltip="GCC-CC7-PF-00000-CI-TSP-1001_00_3_General_Civil_Specification.pdf"/>
    <hyperlink ref="Z32" r:id="rId31" tooltip="GCC-CC7-PF-00000-CI-TSP-1001_00_3_General_Civil_Specification.pdf"/>
    <hyperlink ref="Z198" r:id="rId32" tooltip="GCC-CC7-PF-00000-CI-TSP-1001_00_3_General_Civil_Specification.pdf"/>
    <hyperlink ref="Z214:Z215" r:id="rId33" tooltip="GCC-CC7-PF-00000-CI-TSP-1001_00_3_General_Civil_Specification.pdf" display="X"/>
    <hyperlink ref="Z218" r:id="rId34" tooltip="GCC-CC7-PF-00000-CI-TSP-1001_00_3_General_Civil_Specification.pdf"/>
    <hyperlink ref="Z220" r:id="rId35" tooltip="GCC-CC7-PF-00000-CI-TSP-1001_00_3_General_Civil_Specification.pdf"/>
    <hyperlink ref="Z222" r:id="rId36" tooltip="GCC-CC7-PF-00000-CI-TSP-1001_00_3_General_Civil_Specification.pdf"/>
    <hyperlink ref="Z224" r:id="rId37" tooltip="GCC-CC7-PF-00000-CI-TSP-1001_00_3_General_Civil_Specification.pdf"/>
    <hyperlink ref="Z236" r:id="rId38" tooltip="GCC-CC7-PF-00000-CI-TSP-1001_00_3_General_Civil_Specification.pdf"/>
    <hyperlink ref="Z238:Z240" r:id="rId39" tooltip="GCC-CC7-PF-00000-CI-TSP-6001_00_2_Piperack_Design_Specification.docx" display="X"/>
    <hyperlink ref="Z39" r:id="rId40" tooltip="GCC-CC7-PF-00000-IN-TSP-8013_00_Bl.pdf"/>
    <hyperlink ref="Z52:Z55" r:id="rId41" tooltip="GCC-CC7-PF-00000-IN-TSP-8013_00_Bl.pdf" display="X"/>
    <hyperlink ref="Z59" r:id="rId42" tooltip="GCC-CC7-PF-00000-IN-TSP-8013_00_Bl.pdf"/>
    <hyperlink ref="Z91" r:id="rId43" tooltip="GCC-CC7-PF-00000-IN-TSP-8013_00_Bl.pdf"/>
    <hyperlink ref="Z400" r:id="rId44" tooltip="GCC-CC7-PF-00000-IN-TSP-8013_00_Bl.pdf"/>
    <hyperlink ref="Z402:Z411" r:id="rId45" tooltip="GCC-CC7-PF-00000-IN-TSP-8013_00_Bl.pdf" display="X"/>
    <hyperlink ref="Z417" r:id="rId46" tooltip="GCC-CC7-PF-00000-IN-TSP-8013_00_Bl.pdf"/>
    <hyperlink ref="Z419" r:id="rId47" tooltip="GCC-CC7-PF-00000-IN-TSP-8013_00_Bl.pdf"/>
    <hyperlink ref="Z424:Z426" r:id="rId48" tooltip="GCC-CC7-PF-00000-IN-TSP-8013_00_Bl.pdf" display="X"/>
    <hyperlink ref="Z428" r:id="rId49" tooltip="GCC-CC7-PF-00000-IN-TSP-8013_00_Bl.pdf"/>
    <hyperlink ref="Z28:Z29" r:id="rId50" tooltip="GCC-CC7-PF-00000-ME-TSP-5006_00_1_Mechanical_Equipment_Design_Criteria.pdf" display="X"/>
    <hyperlink ref="Z44" r:id="rId51" tooltip="GCC-CC7-PF-00000-ME-TSP-5006_00_1_Mechanical_Equipment_Design_Criteria.pdf"/>
    <hyperlink ref="Z64" r:id="rId52" tooltip="GCC-CC7-PF-00000-ME-TSP-5006_00_1_Mechanical_Equipment_Design_Criteria.pdf"/>
    <hyperlink ref="Z90" r:id="rId53" tooltip="GCC-CC7-PF-00000-ME-TSP-5006_00_1_Mechanical_Equipment_Design_Criteria.pdf"/>
    <hyperlink ref="Z108" r:id="rId54" tooltip="GCC-CC7-PF-00000-ME-TSP-5006_00_1_Mechanical_Equipment_Design_Criteria.pdf"/>
    <hyperlink ref="Z152" r:id="rId55" tooltip="GCC-CC7-PF-00000-ME-TSP-5006_00_1_Mechanical_Equipment_Design_Criteria.pdf"/>
    <hyperlink ref="Z154" r:id="rId56" tooltip="GCC-CC7-PF-00000-ME-TSP-5006_00_1_Mechanical_Equipment_Design_Criteria.pdf"/>
    <hyperlink ref="Z156:Z157" r:id="rId57" tooltip="GCC-CC7-PF-00000-ME-TSP-5006_00_1_Mechanical_Equipment_Design_Criteria.pdf" display="X"/>
    <hyperlink ref="Z165" r:id="rId58" tooltip="GCC-CC7-PF-00000-ME-TSP-5006_00_1_Mechanical_Equipment_Design_Criteria.pdf"/>
    <hyperlink ref="Z167:Z168" r:id="rId59" tooltip="GCC-CC7-PF-00000-ME-TSP-5006_00_1_Mechanical_Equipment_Design_Criteria.pdf" display="X"/>
    <hyperlink ref="Z171:Z176" r:id="rId60" tooltip="GCC-CC7-PF-00000-ME-TSP-5006_00_1_Mechanical_Equipment_Design_Criteria.pdf" display="X"/>
    <hyperlink ref="Z178:Z181" r:id="rId61" tooltip="GCC-CC7-PF-00000-ME-TSP-5006_00_1_Mechanical_Equipment_Design_Criteria.pdf" display="X"/>
    <hyperlink ref="Z182" r:id="rId62" tooltip="GCC-CC7-PF-00000-ME-TSP-5006_00_1_Mechanical_Equipment_Design_Criteria.pdf"/>
    <hyperlink ref="Z197" r:id="rId63" tooltip="GCC-CC7-PF-00000-ME-TSP-5006_00_1_Mechanical_Equipment_Design_Criteria.pdf"/>
    <hyperlink ref="Z232" r:id="rId64" tooltip="GCC-CC7-PF-00000-ME-TSP-5006_00_1_Mechanical_Equipment_Design_Criteria.pdf"/>
    <hyperlink ref="Z244" r:id="rId65" tooltip="GCC-CC7-PF-00000-ME-TSP-5006_00_1_Mechanical_Equipment_Design_Criteria.pdf"/>
    <hyperlink ref="Z262" r:id="rId66" tooltip="GCC-CC7-PF-00000-ME-TSP-5006_00_1_Mechanical_Equipment_Design_Criteria.pdf"/>
    <hyperlink ref="Z266:Z268" r:id="rId67" tooltip="GCC-CC7-PF-00000-ME-TSP-5006_00_1_Mechanical_Equipment_Design_Criteria.pdf" display="X"/>
    <hyperlink ref="Z275" r:id="rId68" tooltip="GCC-CC7-PF-00000-ME-TSP-5006_00_1_Mechanical_Equipment_Design_Criteria.pdf"/>
    <hyperlink ref="Z286:Z287" r:id="rId69" tooltip="GCC-CC7-PF-00000-ME-TSP-5006_00_1_Mechanical_Equipment_Design_Criteria.pdf" display="X"/>
    <hyperlink ref="Z295" r:id="rId70" tooltip="GCC-CC7-PF-00000-ME-TSP-5006_00_1_Mechanical_Equipment_Design_Criteria.pdf"/>
    <hyperlink ref="Z299" r:id="rId71" tooltip="GCC-CC7-PF-00000-ME-TSP-5006_00_1_Mechanical_Equipment_Design_Criteria.pdf"/>
    <hyperlink ref="Z301:Z302" r:id="rId72" tooltip="GCC-CC7-PF-00000-ME-TSP-5006_00_1_Mechanical_Equipment_Design_Criteria.pdf" display="X"/>
    <hyperlink ref="Z308" r:id="rId73" tooltip="GCC-CC7-PF-00000-ME-TSP-5006_00_1_Mechanical_Equipment_Design_Criteria.pdf"/>
    <hyperlink ref="Z335" r:id="rId74" tooltip="GCC-CC7-PF-00000-ME-TSP-5006_00_1_Mechanical_Equipment_Design_Criteria.pdf"/>
    <hyperlink ref="Z339" r:id="rId75" tooltip="GCC-CC7-PF-00000-ME-TSP-5006_00_1_Mechanical_Equipment_Design_Criteria.pdf"/>
    <hyperlink ref="Z376" r:id="rId76" tooltip="GCC-CC7-PF-00000-ME-TSP-5006_00_1_Mechanical_Equipment_Design_Criteria.pdf"/>
    <hyperlink ref="Z393" r:id="rId77" tooltip="GCC-CC7-PF-00000-ME-TSP-5006_00_1_Mechanical_Equipment_Design_Criteria.pdf"/>
    <hyperlink ref="Z440" r:id="rId78" tooltip="GCC-CC7-PF-00000-ME-TSP-5006_00_1_Mechanical_Equipment_Design_Criteria.pdf"/>
    <hyperlink ref="Z470" r:id="rId79" tooltip="GCC-CC7-PF-00000-ME-TSP-5006_00_1_Mechanical_Equipment_Design_Criteria.pdf"/>
    <hyperlink ref="Z507" r:id="rId80" tooltip="GCC-CC7-PF-00000-ME-TSP-5006_00_1_Mechanical_Equipment_Design_Criteria.pdf"/>
    <hyperlink ref="Z510" r:id="rId81" tooltip="GCC-CC7-PF-00000-ME-TSP-5006_00_1_Mechanical_Equipment_Design_Criteria.pdf"/>
    <hyperlink ref="Z512" r:id="rId82" tooltip="GCC-CC7-PF-00000-ME-TSP-5006_00_1_Mechanical_Equipment_Design_Criteria.pdf"/>
    <hyperlink ref="Z536:Z537" r:id="rId83" tooltip="GCC-CC7-PF-00000-ME-TSP-5006_00_1_Mechanical_Equipment_Design_Criteria.pdf" display="X"/>
    <hyperlink ref="Z119" r:id="rId84" tooltip="GCC-CC7-PF-00000-ME-TSP-5006_00_1_Mechanical_Equipment_Design_Criteria.pdf"/>
    <hyperlink ref="Z124" r:id="rId85" tooltip="GCC-CC7-PF-00000-ME-TSP-5006_00_1_Mechanical_Equipment_Design_Criteria.pdf"/>
    <hyperlink ref="Z153" r:id="rId86" tooltip="GCC-CC7-PF-00000-ME-TSP-5006_00_1_Mechanical_Equipment_Design_Criteria.pdf"/>
    <hyperlink ref="Z155" r:id="rId87" tooltip="GCC-CC7-PF-00000-ME-TSP-5006_00_1_Mechanical_Equipment_Design_Criteria.pdf"/>
    <hyperlink ref="Z159" r:id="rId88" tooltip="GCC-CC7-PF-00000-ME-TSP-5006_00_1_Mechanical_Equipment_Design_Criteria.pdf"/>
    <hyperlink ref="Z346:Z348" r:id="rId89" tooltip="GCC-CC7-PF-00000-ME-TSP-5006_00_1_Mechanical_Equipment_Design_Criteria.pdf" display="X"/>
    <hyperlink ref="Z185" r:id="rId90" tooltip="GCC-CC7-PF-00000-ME-TSP-5006_00_1_Mechanical_Equipment_Design_Criteria.pdf"/>
    <hyperlink ref="Z186:Z188" r:id="rId91" tooltip="GCC-CC7-PF-00000-ME-TSP-5006_00_1_Mechanical_Equipment_Design_Criteria.pdf" display="X"/>
    <hyperlink ref="Z190:Z191" r:id="rId92" tooltip="GCC-CC7-PF-00000-ME-TSP-5006_00_1_Mechanical_Equipment_Design_Criteria.pdf" display="X"/>
    <hyperlink ref="Z194" r:id="rId93" tooltip="GCC-CC7-PF-00000-ME-TSP-5006_00_1_Mechanical_Equipment_Design_Criteria.pdf"/>
    <hyperlink ref="Z23" r:id="rId94" tooltip="GCC-CC7-PF-00000-ME-TSP-5006_00_1_Mechanical_Equipment_Design_Criteria.pdf"/>
    <hyperlink ref="Z70" r:id="rId95" tooltip="GCC-CC7-PF-00000-ME-TSP-5006_00_1_Mechanical_Equipment_Design_Criteria.pdf"/>
    <hyperlink ref="Z120" r:id="rId96" tooltip="GCC-CC7-PF-00000-ME-TSP-5006_00_1_Mechanical_Equipment_Design_Criteria.pdf"/>
    <hyperlink ref="Z128:Z129" r:id="rId97" tooltip="GCC-CC7-PF-00000-ME-TSP-5006_00_1_Mechanical_Equipment_Design_Criteria.pdf" display="X"/>
    <hyperlink ref="Z141:Z142" r:id="rId98" tooltip="GCC-CC7-PF-00000-ME-TSP-5006_00_1_Mechanical_Equipment_Design_Criteria.pdf" display="X"/>
    <hyperlink ref="Z148" r:id="rId99" tooltip="GCC-CC7-PF-00000-ME-TSP-5006_00_1_Mechanical_Equipment_Design_Criteria.pdf"/>
    <hyperlink ref="Z150" r:id="rId100" tooltip="GCC-CC7-PF-00000-ME-TSP-5006_00_1_Mechanical_Equipment_Design_Criteria.pdf"/>
    <hyperlink ref="Z158" r:id="rId101" tooltip="GCC-CC7-PF-00000-ME-TSP-5006_00_1_Mechanical_Equipment_Design_Criteria.pdf"/>
    <hyperlink ref="Z161:Z162" r:id="rId102" tooltip="GCC-CC7-PF-00000-ME-TSP-5006_00_1_Mechanical_Equipment_Design_Criteria.pdf" display="X"/>
    <hyperlink ref="Z169" r:id="rId103" tooltip="GCC-CC7-PF-00000-ME-TSP-5006_00_1_Mechanical_Equipment_Design_Criteria.pdf"/>
    <hyperlink ref="Z200" r:id="rId104" tooltip="GCC-CC7-PF-00000-ME-TSP-5006_00_1_Mechanical_Equipment_Design_Criteria.pdf"/>
    <hyperlink ref="Z245" r:id="rId105" tooltip="GCC-CC7-PF-00000-ME-TSP-5006_00_1_Mechanical_Equipment_Design_Criteria.pdf"/>
    <hyperlink ref="Z258:Z259" r:id="rId106" tooltip="GCC-CC7-PF-00000-ME-TSP-5006_00_1_Mechanical_Equipment_Design_Criteria.pdf" display="X"/>
    <hyperlink ref="Z263" r:id="rId107" tooltip="GCC-CC7-PF-00000-ME-TSP-5006_00_1_Mechanical_Equipment_Design_Criteria.pdf"/>
    <hyperlink ref="Z296" r:id="rId108" tooltip="GCC-CC7-PF-00000-ME-TSP-5006_00_1_Mechanical_Equipment_Design_Criteria.pdf"/>
    <hyperlink ref="Z307" r:id="rId109" tooltip="GCC-CC7-PF-00000-ME-TSP-5006_00_1_Mechanical_Equipment_Design_Criteria.pdf"/>
    <hyperlink ref="Z322" r:id="rId110" tooltip="GCC-CC7-PF-00000-ME-TSP-5006_00_1_Mechanical_Equipment_Design_Criteria.pdf"/>
    <hyperlink ref="Z329:Z330" r:id="rId111" tooltip="GCC-CC7-PF-00000-ME-TSP-5006_00_1_Mechanical_Equipment_Design_Criteria.pdf" display="X"/>
    <hyperlink ref="Z332:Z333" r:id="rId112" tooltip="GCC-CC7-PF-00000-ME-TSP-5006_00_1_Mechanical_Equipment_Design_Criteria.pdf" display="X"/>
    <hyperlink ref="Z189" r:id="rId113" tooltip="GCC-CC7-PF-00000-ME-TSP-5006_00_1_Mechanical_Equipment_Design_Criteria.pdf"/>
    <hyperlink ref="Z19" r:id="rId114" tooltip="GCC-CC7-PF-00000-PE-TSP-7001_00_1_Requirements_for_Package_units.pdf"/>
    <hyperlink ref="Z31" r:id="rId115" tooltip="GCC-CC7-PF-00000-PE-TSP-7001_00_1_Requirements_for_Package_units.pdf"/>
    <hyperlink ref="Z42:Z43" r:id="rId116" tooltip="GCC-CC7-PF-00000-PE-TSP-7001_00_1_Requirements_for_Package_units.pdf" display="X"/>
    <hyperlink ref="Z45" r:id="rId117" tooltip="GCC-CC7-PF-00000-PE-TSP-7001_00_1_Requirements_for_Package_units.pdf"/>
    <hyperlink ref="Z48" r:id="rId118" tooltip="GCC-CC7-PF-00000-PE-TSP-7001_00_1_Requirements_for_Package_units.pdf"/>
    <hyperlink ref="Z51" r:id="rId119" tooltip="GCC-CC7-PF-00000-PE-TSP-7001_00_1_Requirements_for_Package_units.pdf"/>
    <hyperlink ref="Z57" r:id="rId120" tooltip="GCC-CC7-PF-00000-PE-TSP-7001_00_1_Requirements_for_Package_units.pdf"/>
    <hyperlink ref="Z68" r:id="rId121" tooltip="GCC-CC7-PF-00000-PE-TSP-7001_00_1_Requirements_for_Package_units.pdf"/>
    <hyperlink ref="Z72" r:id="rId122" tooltip="GCC-CC7-PF-00000-PE-TSP-7001_00_1_Requirements_for_Package_units.pdf"/>
    <hyperlink ref="Z75" r:id="rId123" tooltip="GCC-CC7-PF-00000-PE-TSP-7001_00_1_Requirements_for_Package_units.pdf"/>
    <hyperlink ref="Z86" r:id="rId124" tooltip="GCC-CC7-PF-00000-PE-TSP-7001_00_1_Requirements_for_Package_units.pdf"/>
    <hyperlink ref="Z109" r:id="rId125" tooltip="GCC-CC7-PF-00000-PE-TSP-7001_00_1_Requirements_for_Package_units.pdf"/>
    <hyperlink ref="Z147" r:id="rId126" tooltip="GCC-CC7-PF-00000-PE-TSP-7001_00_1_Requirements_for_Package_units.pdf"/>
    <hyperlink ref="Z183" r:id="rId127" tooltip="GCC-CC7-PF-00000-PE-TSP-7001_00_1_Requirements_for_Package_units.pdf"/>
    <hyperlink ref="Z201" r:id="rId128" tooltip="GCC-CC7-PF-00000-PE-TSP-7001_00_1_Requirements_for_Package_units.pdf"/>
    <hyperlink ref="Z206" r:id="rId129" tooltip="GCC-CC7-PF-00000-PE-TSP-7001_00_1_Requirements_for_Package_units.pdf"/>
    <hyperlink ref="Z208" r:id="rId130" tooltip="GCC-CC7-PF-00000-PE-TSP-7001_00_1_Requirements_for_Package_units.pdf"/>
    <hyperlink ref="Z216:Z217" r:id="rId131" tooltip="GCC-CC7-PF-00000-PE-TSP-7001_00_1_Requirements_for_Package_units.pdf" display="X"/>
    <hyperlink ref="Z241" r:id="rId132" tooltip="GCC-CC7-PF-00000-PE-TSP-7001_00_1_Requirements_for_Package_units.pdf"/>
    <hyperlink ref="Z253" r:id="rId133" tooltip="GCC-CC7-PF-00000-PE-TSP-7001_00_1_Requirements_for_Package_units.pdf"/>
    <hyperlink ref="Z261" r:id="rId134" tooltip="GCC-CC7-PF-00000-PE-TSP-7001_00_1_Requirements_for_Package_units.pdf"/>
    <hyperlink ref="Z312" r:id="rId135" tooltip="GCC-CC7-PF-00000-PE-TSP-7001_00_1_Requirements_for_Package_units.pdf"/>
    <hyperlink ref="Z338" r:id="rId136" tooltip="GCC-CC7-PF-00000-PE-TSP-7001_00_1_Requirements_for_Package_units.pdf"/>
    <hyperlink ref="Z350:Z355" r:id="rId137" tooltip="GCC-CC7-PF-00000-PE-TSP-7001_00_1_Requirements_for_Package_units.pdf" display="X"/>
    <hyperlink ref="Z391:Z392" r:id="rId138" tooltip="GCC-CC7-PF-00000-PE-TSP-7001_00_1_Requirements_for_Package_units.pdf" display="X"/>
    <hyperlink ref="Z395:Z396" r:id="rId139" tooltip="GCC-CC7-PF-00000-PE-TSP-7001_00_1_Requirements_for_Package_units.pdf" display="X"/>
    <hyperlink ref="Z398" r:id="rId140" tooltip="GCC-CC7-PF-00000-PE-TSP-7001_00_1_Requirements_for_Package_units.pdf"/>
    <hyperlink ref="Z434:Z435" r:id="rId141" tooltip="GCC-CC7-PF-00000-PE-TSP-7001_00_1_Requirements_for_Package_units.pdf" display="X"/>
    <hyperlink ref="Z438:Z439" r:id="rId142" tooltip="GCC-CC7-PF-00000-PE-TSP-7001_00_1_Requirements_for_Package_units.pdf" display="X"/>
    <hyperlink ref="Z445" r:id="rId143" tooltip="GCC-CC7-PF-00000-PE-TSP-7001_00_1_Requirements_for_Package_units.pdf"/>
    <hyperlink ref="Z451:Z457" r:id="rId144" tooltip="GCC-CC7-PF-00000-PE-TSP-7001_00_1_Requirements_for_Package_units.pdf" display="X"/>
    <hyperlink ref="Z459" r:id="rId145" tooltip="GCC-CC7-PF-00000-PE-TSP-7001_00_1_Requirements_for_Package_units.pdf"/>
    <hyperlink ref="Z464:Z466" r:id="rId146" tooltip="GCC-CC7-PF-00000-PE-TSP-7001_00_1_Requirements_for_Package_units.pdf" display="X"/>
    <hyperlink ref="Z471:Z472" r:id="rId147" tooltip="GCC-CC7-PF-00000-PE-TSP-7001_00_1_Requirements_for_Package_units.pdf" display="X"/>
    <hyperlink ref="Z480" r:id="rId148" tooltip="GCC-CC7-PF-00000-PE-TSP-7001_00_1_Requirements_for_Package_units.pdf"/>
    <hyperlink ref="Z494:Z496" r:id="rId149" tooltip="GCC-CC7-PF-00000-PE-TSP-7001_00_1_Requirements_for_Package_units.pdf" display="X"/>
    <hyperlink ref="Z73" r:id="rId150" tooltip="GCC-CC7-PF-00000-PE-TSP-7001_00_1_Requirements_for_Package_units.pdf"/>
    <hyperlink ref="Z74" r:id="rId151" tooltip="GCC-CC7-PF-00000-PE-TSP-7001_00_1_Requirements_for_Package_units.pdf"/>
    <hyperlink ref="Z77" r:id="rId152" tooltip="GCC-CC7-PF-00000-PE-TSP-7001_00_1_Requirements_for_Package_units.pdf"/>
    <hyperlink ref="Z313" r:id="rId153" tooltip="GCC-CC7-PF-00000-PE-TSP-7001_00_1_Requirements_for_Package_units.pdf"/>
    <hyperlink ref="Z323:Z328" r:id="rId154" tooltip="GCC-CC7-PF-00000-PE-TSP-7001_00_1_Requirements_for_Package_units.pdf" display="X"/>
    <hyperlink ref="Z336:Z337" r:id="rId155" tooltip="GCC-CC7-PF-00000-PE-TSP-7001_00_1_Requirements_for_Package_units.pdf" display="X"/>
    <hyperlink ref="Z340:Z345" r:id="rId156" tooltip="GCC-CC7-PF-00000-PE-TSP-7001_00_1_Requirements_for_Package_units.pdf" display="X"/>
    <hyperlink ref="Z497" r:id="rId157" tooltip="GCC-CC7-PF-00000-PE-TSP-7001_00_1_Requirements_for_Package_units.pdf"/>
    <hyperlink ref="Z511" r:id="rId158" tooltip="GCC-CC7-PF-00000-PE-TSP-7001_00_1_Requirements_for_Package_units.pdf"/>
    <hyperlink ref="Z143" r:id="rId159" tooltip="GCC-CC7-PF-00000-PE-TSP-7001_00_1_Requirements_for_Package_units.pdf"/>
    <hyperlink ref="Z247" r:id="rId160" tooltip="GCC-CC7-PF-00000-PE-TSP-7001_00_1_Requirements_for_Package_units.pdf"/>
    <hyperlink ref="Z249:Z250" r:id="rId161" tooltip="GCC-CC7-PF-00000-PE-TSP-7001_00_1_Requirements_for_Package_units.pdf" display="X"/>
    <hyperlink ref="Z256" r:id="rId162" tooltip="GCC-CC7-PF-00000-PE-TSP-7001_00_1_Requirements_for_Package_units.pdf"/>
    <hyperlink ref="Z264:Z265" r:id="rId163" tooltip="GCC-CC7-PF-00000-PE-TSP-7001_00_1_Requirements_for_Package_units.pdf" display="X"/>
    <hyperlink ref="Z281" r:id="rId164" tooltip="GCC-CC7-PF-00000-PE-TSP-7001_00_1_Requirements_for_Package_units.pdf"/>
    <hyperlink ref="Z288:Z290" r:id="rId165" tooltip="GCC-CC7-PF-00000-PE-TSP-7001_00_1_Requirements_for_Package_units.pdf" display="X"/>
    <hyperlink ref="Z297:Z298" r:id="rId166" tooltip="GCC-CC7-PF-00000-PE-TSP-7001_00_1_Requirements_for_Package_units.pdf" display="X"/>
    <hyperlink ref="Z300" r:id="rId167" tooltip="GCC-CC7-PF-00000-PE-TSP-7001_00_1_Requirements_for_Package_units.pdf"/>
    <hyperlink ref="Z311" r:id="rId168" tooltip="GCC-CC7-PF-00000-PE-TSP-7001_00_1_Requirements_for_Package_units.pdf"/>
    <hyperlink ref="Z46" r:id="rId169" tooltip="GCC-CC7-PF-00000-PE-TSP-7001_00_1_Requirements_for_Package_units.pdf"/>
    <hyperlink ref="Z199" r:id="rId170" tooltip="GCC-CC7-PF-00000-PE-TSP-7001_00_1_Requirements_for_Package_units.pdf"/>
    <hyperlink ref="Z219" r:id="rId171" tooltip="GCC-CC7-PF-00000-PE-TSP-7001_00_1_Requirements_for_Package_units.pdf"/>
    <hyperlink ref="Z223" r:id="rId172" tooltip="GCC-CC7-PF-00000-PE-TSP-7001_00_1_Requirements_for_Package_units.pdf"/>
    <hyperlink ref="Z225" r:id="rId173" tooltip="GCC-CC7-PF-00000-PE-TSP-7001_00_1_Requirements_for_Package_units.pdf"/>
    <hyperlink ref="Z227:Z230" r:id="rId174" tooltip="GCC-CC7-PF-00000-PE-TSP-7001_00_1_Requirements_for_Package_units.pdf" display="X"/>
    <hyperlink ref="Z233:Z234" r:id="rId175" tooltip="GCC-CC7-PF-00000-PE-TSP-7001_00_1_Requirements_for_Package_units.pdf" display="X"/>
    <hyperlink ref="Z394" r:id="rId176" tooltip="GCC-CC7-PF-00000-IN-TSP-8013_00_Bl.pdf"/>
    <hyperlink ref="Z401" r:id="rId177" tooltip="GCC-CC7-PF-00000-IN-TSP-8013_00_Bl.pdf"/>
    <hyperlink ref="Z418" r:id="rId178" tooltip="GCC-CC7-PF-00000-IN-TSP-8013_00_Bl.pdf"/>
    <hyperlink ref="Z404" r:id="rId179" tooltip="GCC-CC7-PF-00000-IN-TSP-8013_00_Bl.pdf"/>
    <hyperlink ref="Z421" r:id="rId180" tooltip="GCC-CC7-PF-00000-IN-TSP-8013_00_Bl.pdf"/>
    <hyperlink ref="Z420" r:id="rId181" tooltip="GCC-CC7-PF-00000-IN-TSP-8013_00_Bl.pdf"/>
    <hyperlink ref="Z429" r:id="rId182" tooltip="GCC-CC7-PF-00000-IN-TSP-8013_00_Bl.pdf"/>
    <hyperlink ref="AH73" r:id="rId183" tooltip="GCC-CC7-PF-00000-EL-TSP-9011_00_3_Electrical_Requirements_for_Mechanical_Equipment.pdf"/>
    <hyperlink ref="AH74" r:id="rId184" tooltip="GCC-CC7-PF-00000-EL-TSP-9011_00_3_Electrical_Requirements_for_Mechanical_Equipment.pdf"/>
    <hyperlink ref="Z437" r:id="rId185" tooltip="GCC-CC7-PF-00000-EL-TSP-9011_00_3_Electrical_Requirements_for_Mechanical_Equipment.pdf"/>
    <hyperlink ref="Z441" r:id="rId186" tooltip="GCC-CC7-PF-00000-EL-TSP-9011_00_3_Electrical_Requirements_for_Mechanical_Equipment.pdf"/>
    <hyperlink ref="Z450" r:id="rId187" tooltip="GCC-CC7-PF-00000-EL-TSP-9011_00_3_Electrical_Requirements_for_Mechanical_Equipment.pdf"/>
    <hyperlink ref="AH450" r:id="rId188" tooltip="GCC-CC7-PF-00000-EL-TSP-9011_00_3_Electrical_Requirements_for_Mechanical_Equipment.pdf"/>
    <hyperlink ref="Z436" r:id="rId189" tooltip="GCC-CC7-PF-00000-EL-TSP-9011_00_3_Electrical_Requirements_for_Mechanical_Equipment.pdf"/>
    <hyperlink ref="AH434" r:id="rId190" tooltip="GCC-CC7-PF-00000-EL-TSP-9011_00_3_Electrical_Requirements_for_Mechanical_Equipment.pdf"/>
    <hyperlink ref="AH440" r:id="rId191" tooltip="GCC-CC7-PF-00000-EL-TSP-9011_00_3_Electrical_Requirements_for_Mechanical_Equipment.pdf"/>
    <hyperlink ref="AH445" r:id="rId192" tooltip="GCC-CC7-PF-00000-EL-TSP-9011_00_3_Electrical_Requirements_for_Mechanical_Equipment.pdf"/>
    <hyperlink ref="AH350" r:id="rId193" tooltip="GCC-CC7-PF-00000-PI-TSP-6002_00_3_Piping_Design_Specification.pdf"/>
    <hyperlink ref="Z69" r:id="rId194" tooltip="GCC-CC7-PF-00000-PI-TSP-6002_00_3_Piping_Design_Specification.pdf"/>
    <hyperlink ref="AH352" r:id="rId195" tooltip="GCC-CC7-PF-00000-PI-TSP-6002_00_3_Piping_Design_Specification.pdf"/>
    <hyperlink ref="Z378" r:id="rId196" tooltip="GCC-CC7-PF-00000-PI-TSP-6002_00_3_Piping_Design_Specification.pdf"/>
    <hyperlink ref="Z351" r:id="rId197" tooltip="GCC-CC7-PF-00000-PI-TSP-6002_00_3_Piping_Design_Specification.pdf"/>
    <hyperlink ref="AH354" r:id="rId198" tooltip="GCC-CC7-PF-00000-PI-TSP-6002_00_3_Piping_Design_Specification.pdf"/>
    <hyperlink ref="Z368" r:id="rId199" tooltip="GCC-CC7-PF-00000-PI-TSP-6002_00_3_Piping_Design_Specification.pdf"/>
    <hyperlink ref="Z373" r:id="rId200" tooltip="GCC-CC7-PF-00000-PI-TSP-6002_00_3_Piping_Design_Specification.pdf"/>
    <hyperlink ref="Z369" r:id="rId201" tooltip="GCC-CC7-PF-00000-PI-TSP-6002_00_3_Piping_Design_Specification.pdf"/>
    <hyperlink ref="Z370" r:id="rId202" tooltip="GCC-CC7-PF-00000-PI-TSP-6002_00_3_Piping_Design_Specification.pdf"/>
    <hyperlink ref="Z381" r:id="rId203" tooltip="GCC-CC7-PF-00000-PI-TSP-6002_00_3_Piping_Design_Specification.pdf"/>
    <hyperlink ref="AH376" r:id="rId204" tooltip="GCC-CC7-PF-00000-PI-TSP-6002_00_3_Piping_Design_Specification.pdf"/>
    <hyperlink ref="Z377" r:id="rId205" tooltip="GCC-CC7-PF-00000-PI-TSP-6002_00_3_Piping_Design_Specification.pdf"/>
    <hyperlink ref="Z356" r:id="rId206" tooltip="GCC-CC7-PF-00000-PI-TSP-6002_00_3_Piping_Design_Specification.pdf"/>
    <hyperlink ref="AH457" r:id="rId207" tooltip="GCC-CC7-PF-00000-PI-TSP-6002_00_3_Piping_Design_Specification.pdf"/>
    <hyperlink ref="Z357" r:id="rId208" tooltip="GCC-CC7-PF-00000-PI-TSP-6002_00_3_Piping_Design_Specification.pdf"/>
    <hyperlink ref="Z390" r:id="rId209" tooltip="GCC-CC7-PF-00000-PI-TSP-6002_00_3_Piping_Design_Specification.pdf"/>
    <hyperlink ref="Z5" r:id="rId210" tooltip="GCC-CC7-PF-00000-IS-TSP-6008_00_3_Heat_Insulation__Piping_and_Equipment.pdf"/>
    <hyperlink ref="Z202" r:id="rId211" tooltip="GCC-CC7-PF-00000-IS-TSP-6008_00_3_Heat_Insulation__Piping_and_Equipment.pdf"/>
    <hyperlink ref="Z203" r:id="rId212" tooltip="GCC-CC7-PF-00000-IS-TSP-6008_00_3_Heat_Insulation__Piping_and_Equipment.pdf"/>
    <hyperlink ref="Z205" r:id="rId213" tooltip="GCC-CC7-PF-00000-IS-TSP-6008_00_3_Heat_Insulation__Piping_and_Equipment.pdf"/>
    <hyperlink ref="Z204" r:id="rId214" tooltip="GCC-CC7-PF-00000-IS-TSP-6008_00_3_Heat_Insulation__Piping_and_Equipment.pdf"/>
    <hyperlink ref="O5" r:id="rId215" tooltip="GCC-CC7-PM-00000-ME-TSP-00001_AA_2 (1).pdf"/>
    <hyperlink ref="O7" r:id="rId216" tooltip="GCC-CC7-PM-00000-ME-TSP-00006_00_2.pdf"/>
    <hyperlink ref="O18" r:id="rId217" tooltip="GCC-CC7-PM-00000-ME-TSP-00006_00_2.pdf"/>
    <hyperlink ref="O27" r:id="rId218" tooltip="GCC-CC7-PM-00000-ME-TSP-00006_00_2.pdf"/>
    <hyperlink ref="O41" r:id="rId219" tooltip="GCC-CC7-PM-00000-ME-TSP-00006_00_2.pdf"/>
    <hyperlink ref="O31" r:id="rId220" tooltip="GCC-CC7-PM-00000-ME-TSP-00006_00_2.pdf"/>
    <hyperlink ref="O33" r:id="rId221" tooltip="GCC-CC7-PM-00000-ME-TSP-00006_00_2.pdf"/>
    <hyperlink ref="O16" r:id="rId222" tooltip="GCC-CC7-PM-00000-ME-TSP-00006_00_2.pdf"/>
    <hyperlink ref="O15" r:id="rId223" tooltip="GCC-CC7-PM-00000-ME-TSP-00006_00_2.pdf"/>
    <hyperlink ref="O29" r:id="rId224" tooltip="GCC-CC7-PM-00000-ME-TSP-00006_00_2.pdf"/>
    <hyperlink ref="O52" r:id="rId225" tooltip="GCC-CC7-PM-00000-ME-TSP-00006_00_2.pdf"/>
    <hyperlink ref="O54" r:id="rId226" tooltip="GCC-CC7-PM-00000-ME-TSP-00006_00_2.pdf"/>
    <hyperlink ref="O53" r:id="rId227" tooltip="GCC-CC7-PM-00000-ME-TSP-00006_00_2.pdf"/>
    <hyperlink ref="O55" r:id="rId228" tooltip="GCC-CC7-PM-00000-ME-TSP-00006_00_2.pdf"/>
    <hyperlink ref="O56" r:id="rId229" tooltip="GCC-CC7-PM-00000-ME-TSP-00006_00_2.pdf"/>
    <hyperlink ref="O57" r:id="rId230" tooltip="GCC-CC7-PM-00000-ME-TSP-00006_00_2.pdf"/>
    <hyperlink ref="O59" r:id="rId231" tooltip="GCC-CC7-PM-00000-ME-TSP-00006_00_2.pdf"/>
    <hyperlink ref="O62" r:id="rId232" tooltip="GCC-CC7-PM-00000-ME-TSP-00006_00_2.pdf"/>
    <hyperlink ref="O74" r:id="rId233" tooltip="GCC-CC7-PM-00000-ME-TSP-00006_00_2.pdf"/>
    <hyperlink ref="O197" r:id="rId234" tooltip="GCC-CC7-PM-00000-ME-TSP-00006_00_2.pdf"/>
    <hyperlink ref="O529" r:id="rId235" tooltip="GCC-CC7-PM-00000-ME-TSP-00006_00_2.pdf"/>
    <hyperlink ref="O75" r:id="rId236" tooltip="GCC-CC7-PM-00000-ME-TSP-00006_00_2.pdf"/>
    <hyperlink ref="O76" r:id="rId237" tooltip="GCC-CC7-PM-00000-ME-TSP-00006_00_2.pdf"/>
    <hyperlink ref="O338" r:id="rId238" tooltip="GCC-CC7-PM-00000-ME-TSP-00006_00_2.pdf"/>
    <hyperlink ref="O481" r:id="rId239" tooltip="GCC-CC7-PM-00000-ME-TSP-00006_00_2.pdf"/>
    <hyperlink ref="O482" r:id="rId240" tooltip="GCC-CC7-PM-00000-ME-TSP-00006_00_2.pdf"/>
    <hyperlink ref="O226" r:id="rId241" tooltip="GCC-CC7-PM-00000-ME-TSP-00006_00_2.pdf"/>
    <hyperlink ref="O209" r:id="rId242" tooltip="GCC-CC7-PM-00000-ME-TSP-00006_00_2.pdf"/>
    <hyperlink ref="O474" r:id="rId243" tooltip="GCC-CC7-PM-00000-ME-TSP-00006_00_2.pdf"/>
    <hyperlink ref="O64" r:id="rId244" tooltip="GCC-CC7-PM-00000-ME-TSP-00006_00_2.pdf"/>
    <hyperlink ref="O68" r:id="rId245" tooltip="GCC-CC7-PM-00000-ME-TSP-00006_00_2.pdf"/>
    <hyperlink ref="O106" r:id="rId246" tooltip="GCC-CC7-PM-00000-ME-TSP-00006_00_2.pdf"/>
    <hyperlink ref="O156" r:id="rId247" tooltip="GCC-CC7-PM-00000-ME-TSP-00006_00_2.pdf"/>
    <hyperlink ref="O151" r:id="rId248" tooltip="GCC-CC7-PM-00000-ME-TSP-00006_00_2.pdf"/>
    <hyperlink ref="O126" r:id="rId249" tooltip="GCC-CC7-PM-00000-ME-TSP-00006_00_2.pdf"/>
    <hyperlink ref="O131" r:id="rId250" tooltip="GCC-CC7-PM-00000-ME-TSP-00006_00_2.pdf"/>
    <hyperlink ref="O140" r:id="rId251" tooltip="GCC-CC7-PM-00000-ME-TSP-00006_00_2.pdf"/>
    <hyperlink ref="O352" r:id="rId252" tooltip="GCC-CC7-PM-00000-ME-TSP-00006_00_2.pdf"/>
    <hyperlink ref="O353" r:id="rId253" tooltip="GCC-CC7-PM-00000-ME-TSP-00006_00_2.pdf"/>
    <hyperlink ref="O478" r:id="rId254" tooltip="GCC-CC7-PM-00000-ME-TSP-00006_00_2.pdf"/>
    <hyperlink ref="O216" r:id="rId255" tooltip="GCC-CC7-PM-00000-ME-TSP-00006_00_2.pdf"/>
    <hyperlink ref="O367" r:id="rId256" tooltip="GCC-CC7-PM-00000-ME-TSP-00006_00_2.pdf"/>
    <hyperlink ref="O51" r:id="rId257" tooltip="GCC-CC7-PM-00000-ME-TSP-00006_00_2.pdf"/>
    <hyperlink ref="O452" r:id="rId258" tooltip="GCC-CC7-PM-00000-ME-TSP-00006_00_2.pdf"/>
    <hyperlink ref="O312" r:id="rId259" tooltip="GCC-CC7-PM-00000-ME-TSP-00006_00_2.pdf"/>
    <hyperlink ref="O241" r:id="rId260" tooltip="GCC-CC7-PM-00000-ME-TSP-00006_00_2.pdf"/>
    <hyperlink ref="O391" r:id="rId261" tooltip="GCC-CC7-PM-00000-ME-TSP-00006_00_2.pdf"/>
    <hyperlink ref="O70" r:id="rId262" tooltip="GCC-CC7-PM-00000-ME-TSP-00006_00_2.pdf"/>
    <hyperlink ref="O412" r:id="rId263" tooltip="GCC-CC7-PM-00000-ME-TSP-00006_00_2.pdf"/>
    <hyperlink ref="O434" r:id="rId264" tooltip="GCC-CC7-PM-00000-ME-TSP-00006_00_2.pdf"/>
    <hyperlink ref="O445" r:id="rId265" tooltip="GCC-CC7-PM-00000-ME-TSP-00006_00_2.pdf"/>
    <hyperlink ref="O451" r:id="rId266" tooltip="GCC-CC7-PM-00000-ME-TSP-00006_00_2.pdf"/>
    <hyperlink ref="O129" r:id="rId267" tooltip="GCC-CC7-PM-00000-ME-TSP-00006_00_2.pdf"/>
    <hyperlink ref="O354" r:id="rId268" tooltip="GCC-CC7-PM-00000-ME-TSP-00006_00_2.pdf"/>
    <hyperlink ref="O378" r:id="rId269" tooltip="GCC-CC7-PM-00000-ME-TSP-00006_00_2.pdf"/>
    <hyperlink ref="O350" r:id="rId270" tooltip="GCC-CC7-PM-00000-ME-TSP-00006_00_2.pdf"/>
    <hyperlink ref="O377" r:id="rId271" tooltip="GCC-CC7-PM-00000-ME-TSP-00006_00_2.pdf"/>
    <hyperlink ref="O454" r:id="rId272" tooltip="GCC-CC7-PM-00000-ME-TSP-00006_00_2.pdf"/>
    <hyperlink ref="O183" r:id="rId273" tooltip="GCC-CC7-PM-00000-ME-TSP-00006_00_2.pdf"/>
    <hyperlink ref="O200" r:id="rId274" tooltip="GCC-CC7-PM-00000-ME-TSP-00006_00_2.pdf"/>
    <hyperlink ref="O207" r:id="rId275" tooltip="GCC-CC7-PM-00000-ME-TSP-00006_00_2.pdf"/>
    <hyperlink ref="O86" r:id="rId276" tooltip="GCC-CC7-PM-00000-ME-TSP-00006_00_2.pdf"/>
    <hyperlink ref="O456" r:id="rId277" tooltip="GCC-CC7-PM-00000-ME-TSP-00006_00_2.pdf"/>
    <hyperlink ref="O460" r:id="rId278" tooltip="GCC-CC7-PM-00000-ME-TSP-00006_00_2.pdf"/>
    <hyperlink ref="O488" r:id="rId279" tooltip="GCC-CC7-PM-00000-ME-TSP-00006_00_2.pdf"/>
    <hyperlink ref="O484" r:id="rId280" tooltip="GCC-CC7-PM-00000-ME-TSP-00006_00_2.pdf"/>
    <hyperlink ref="O465" r:id="rId281" tooltip="GCC-CC7-PM-00000-ME-TSP-00006_00_2.pdf"/>
    <hyperlink ref="O466" r:id="rId282" tooltip="GCC-CC7-PM-00000-ME-TSP-00006_00_2.pdf"/>
    <hyperlink ref="O467" r:id="rId283" tooltip="GCC-CC7-PM-00000-ME-TSP-00006_00_2.pdf"/>
    <hyperlink ref="O468" r:id="rId284" tooltip="GCC-CC7-PM-00000-ME-TSP-00006_00_2.pdf"/>
    <hyperlink ref="O469" r:id="rId285" tooltip="GCC-CC7-PM-00000-ME-TSP-00006_00_2.pdf"/>
    <hyperlink ref="O496" r:id="rId286" tooltip="GCC-CC7-PM-00000-ME-TSP-00006_00_2.pdf"/>
    <hyperlink ref="O494" r:id="rId287" tooltip="GCC-CC7-PM-00000-ME-TSP-00006_00_2.pdf"/>
    <hyperlink ref="O540" r:id="rId288" tooltip="GCC-CC7-PM-00000-ME-TSP-00006_00_2.pdf"/>
    <hyperlink ref="O361" r:id="rId289" tooltip="GCC-CC7-PM-00000-ME-TSP-00006_00_2.pdf"/>
    <hyperlink ref="O360" r:id="rId290" tooltip="GCC-CC7-PM-00000-ME-TSP-00006_00_2.pdf"/>
    <hyperlink ref="O514" r:id="rId291" tooltip="GCC-CC7-PM-00000-ME-TSP-00006_00_2.pdf"/>
    <hyperlink ref="O39" r:id="rId292" tooltip="GCC-CC7-PM-00000-ME-TSP-00006_00_2.pdf"/>
    <hyperlink ref="O518" r:id="rId293" tooltip="GCC-CC7-PM-00000-ME-TSP-00006_00_2.pdf"/>
    <hyperlink ref="O25" r:id="rId294" tooltip="GCC-CC7-PM-00000-ME-TSP-00001_AA_2 (1).pdf"/>
    <hyperlink ref="O240" r:id="rId295" tooltip="GCC-CC7-PM-00000-ME-TSP-00001_AA_2 (1).pdf"/>
    <hyperlink ref="O243" r:id="rId296" tooltip="GCC-CC7-PM-00000-ME-TSP-00001_AA_2 (1).pdf"/>
    <hyperlink ref="O254" r:id="rId297" tooltip="GCC-CC7-PM-00000-ME-TSP-00001_AA_2 (1).pdf"/>
    <hyperlink ref="O172" r:id="rId298" tooltip="GCC-CC7-PM-00000-ME-TSP-00001_AA_2 (1).pdf"/>
    <hyperlink ref="O174" r:id="rId299" tooltip="GCC-CC7-PM-00000-ME-TSP-00001_AA_2 (1).pdf"/>
    <hyperlink ref="O269" r:id="rId300" tooltip="GCC-CC7-PM-00000-ME-TSP-00001_AA_2 (1).pdf"/>
    <hyperlink ref="O277" r:id="rId301" tooltip="GCC-CC7-PM-00000-ME-TSP-00001_AA_2 (1).pdf"/>
    <hyperlink ref="O246" r:id="rId302" tooltip="GCC-CC7-PM-00000-ME-TSP-00001_AA_2 (1).pdf"/>
    <hyperlink ref="O171" r:id="rId303" tooltip="GCC-CC7-PM-00000-ME-TSP-00001_AA_2 (1).pdf"/>
    <hyperlink ref="O275" r:id="rId304" tooltip="GCC-CC7-PM-00000-ME-TSP-00001_AA_2 (1).pdf"/>
    <hyperlink ref="O176" r:id="rId305" tooltip="GCC-CC7-PM-00000-ME-TSP-00001_AA_2 (1).pdf"/>
    <hyperlink ref="O278" r:id="rId306" tooltip="GCC-CC7-PM-00000-ME-TSP-00001_AA_2 (1).pdf"/>
    <hyperlink ref="O279" r:id="rId307" tooltip="GCC-CC7-PM-00000-ME-TSP-00001_AA_2 (1).pdf"/>
    <hyperlink ref="O280" r:id="rId308" tooltip="GCC-CC7-PM-00000-ME-TSP-00001_AA_2 (1).pdf"/>
    <hyperlink ref="O242" r:id="rId309" tooltip="GCC-CC7-PM-00000-ME-TSP-00001_AA_2 (1).pdf"/>
    <hyperlink ref="O61" r:id="rId310" tooltip="GCC-CC7-PM-00000-ME-TSP-00001_AA_2 (1).pdf"/>
    <hyperlink ref="O60" r:id="rId311" tooltip="GCC-CC7-PM-00000-ME-TSP-00001_AA_2 (1).pdf"/>
    <hyperlink ref="O58" r:id="rId312" tooltip="GCC-CC7-PM-00000-ME-TSP-00001_AA_2 (1).pdf"/>
    <hyperlink ref="O271" r:id="rId313" tooltip="GCC-CC7-PM-00000-ME-TSP-00001_AA_2 (1).pdf"/>
    <hyperlink ref="O274" r:id="rId314" tooltip="GCC-CC7-PM-00000-ME-TSP-00001_AA_2 (1).pdf"/>
    <hyperlink ref="O175" r:id="rId315" tooltip="GCC-CC7-PM-00000-ME-TSP-00001_AA_2 (1).pdf"/>
    <hyperlink ref="O177" r:id="rId316" tooltip="GCC-CC7-PM-00000-ME-TSP-00001_AA_2 (1).pdf"/>
    <hyperlink ref="O169" r:id="rId317" tooltip="GCC-CC7-PM-00000-ME-TSP-00001_AA_2 (1).pdf"/>
    <hyperlink ref="O170" r:id="rId318" tooltip="GCC-CC7-PM-00000-ME-TSP-00001_AA_2 (1).pdf"/>
    <hyperlink ref="O168" r:id="rId319" tooltip="GCC-CC7-PM-00000-ME-TSP-00001_AA_2 (1).pdf"/>
    <hyperlink ref="O251" r:id="rId320" tooltip="GCC-CC7-PM-00000-ME-TSP-00001_AA_2 (1).pdf"/>
    <hyperlink ref="O295" r:id="rId321" tooltip="GCC-CC7-PM-00000-ME-TSP-00001_AA_2 (1).pdf"/>
    <hyperlink ref="O286" r:id="rId322" tooltip="GCC-CC7-PM-00000-ME-TSP-00001_AA_2 (1).pdf"/>
    <hyperlink ref="O248" r:id="rId323" tooltip="GCC-CC7-PM-00000-ME-TSP-00001_AA_2 (1).pdf"/>
    <hyperlink ref="O252" r:id="rId324" tooltip="GCC-CC7-PM-00000-ME-TSP-00001_AA_2 (1).pdf"/>
    <hyperlink ref="O249" r:id="rId325" tooltip="GCC-CC7-PM-00000-ME-TSP-00001_AA_2 (1).pdf"/>
    <hyperlink ref="O250" r:id="rId326" tooltip="GCC-CC7-PM-00000-ME-TSP-00001_AA_2 (1).pdf"/>
    <hyperlink ref="O258" r:id="rId327" tooltip="GCC-CC7-PM-00000-ME-TSP-00001_AA_2 (1).pdf"/>
    <hyperlink ref="O259" r:id="rId328" tooltip="GCC-CC7-PM-00000-ME-TSP-00001_AA_2 (1).pdf"/>
    <hyperlink ref="O298" r:id="rId329" tooltip="GCC-CC7-PM-00000-ME-TSP-00001_AA_2 (1).pdf"/>
    <hyperlink ref="O290" r:id="rId330" tooltip="GCC-CC7-PM-00000-ME-TSP-00001_AA_2 (1).pdf"/>
    <hyperlink ref="O300" r:id="rId331" tooltip="GCC-CC7-PM-00000-ME-TSP-00001_AA_2 (1).pdf"/>
    <hyperlink ref="O260" r:id="rId332" tooltip="GCC-CC7-PM-00000-ME-TSP-00001_AA_2 (1).pdf"/>
    <hyperlink ref="O291" r:id="rId333" tooltip="GCC-CC7-PM-00000-ME-TSP-00001_AA_2 (1).pdf"/>
    <hyperlink ref="O292" r:id="rId334" tooltip="GCC-CC7-PM-00000-ME-TSP-00001_AA_2 (1).pdf"/>
    <hyperlink ref="O293" r:id="rId335" tooltip="GCC-CC7-PM-00000-ME-TSP-00001_AA_2 (1).pdf"/>
    <hyperlink ref="O294" r:id="rId336" tooltip="GCC-CC7-PM-00000-ME-TSP-00001_AA_2 (1).pdf"/>
    <hyperlink ref="O178" r:id="rId337" tooltip="GCC-CC7-PM-00000-ME-TSP-00001_AA_2 (1).pdf"/>
    <hyperlink ref="O256" r:id="rId338" tooltip="GCC-CC7-PM-00000-ME-TSP-00001_AA_2 (1).pdf"/>
    <hyperlink ref="O455" r:id="rId339" tooltip="GCC-CC7-PM-00000-ME-TSP-00001_AA_2 (1).pdf"/>
    <hyperlink ref="O267" r:id="rId340" tooltip="GCC-CC7-PM-00000-ME-TSP-00001_AA_2 (1).pdf"/>
    <hyperlink ref="O270" r:id="rId341" tooltip="GCC-CC7-PM-00000-ME-TSP-00001_AA_2 (1).pdf"/>
    <hyperlink ref="O173" r:id="rId342" tooltip="GCC-CC7-PM-00000-ME-TSP-00001_AA_2 (1).pdf"/>
    <hyperlink ref="O179" r:id="rId343" tooltip="GCC-CC7-PM-00000-ME-TSP-00001_AA_2 (1).pdf"/>
    <hyperlink ref="O272" r:id="rId344" tooltip="GCC-CC7-PM-00000-ME-TSP-00001_AA_2 (1).pdf"/>
    <hyperlink ref="O184" r:id="rId345" tooltip="GCC-CC7-PM-00000-ME-TSP-00001_AA_2 (1).pdf"/>
    <hyperlink ref="O42" r:id="rId346" tooltip="GCC-CC7-PM-00000-ME-TSP-00001_AA_2 (1).pdf"/>
    <hyperlink ref="O464" r:id="rId347" tooltip="GCC-CC7-PM-00000-ME-TSP-00001_AA_2 (1).pdf"/>
    <hyperlink ref="O6" r:id="rId348" tooltip="GCC-CC7-PM-00000-ME-TSP-00002_AA_2.pdf"/>
    <hyperlink ref="O66" r:id="rId349" tooltip="GCC-CC7-PM-00000-ME-TSP-00002_AA_2.pdf"/>
    <hyperlink ref="O77" r:id="rId350" tooltip="GCC-CC7-PM-00000-ME-TSP-00002_AA_2.pdf"/>
    <hyperlink ref="O313:O321" r:id="rId351" tooltip="GCC-CC7-PM-00000-ME-TSP-00002_AA_2.pdf" display="X"/>
    <hyperlink ref="O326:O327" r:id="rId352" tooltip="GCC-CC7-PM-00000-ME-TSP-00002_AA_2.pdf" display="X"/>
    <hyperlink ref="O330" r:id="rId353" tooltip="GCC-CC7-PM-00000-ME-TSP-00002_AA_2.pdf"/>
    <hyperlink ref="O340" r:id="rId354" tooltip="GCC-CC7-PM-00000-ME-TSP-00002_AA_2.pdf"/>
    <hyperlink ref="O8" r:id="rId355" tooltip="GCC-CC7-PM-00000-ME-TSP-00008_AA_2.pdf"/>
    <hyperlink ref="O3" r:id="rId356" tooltip="ATTACHMENT 6. Scope of Work_LAO.pdf"/>
    <hyperlink ref="O17" r:id="rId357" tooltip="ATTACHMENT 6. Scope of Work_LAO.pdf"/>
    <hyperlink ref="O14" r:id="rId358" tooltip="ATTACHMENT 6. Scope of Work_LAO.pdf"/>
    <hyperlink ref="O19" r:id="rId359" tooltip="ATTACHMENT 6. Scope of Work_LAO.pdf"/>
    <hyperlink ref="O105" r:id="rId360" tooltip="ATTACHMENT 6. Scope of Work_LAO.pdf"/>
    <hyperlink ref="O20" r:id="rId361" tooltip="ATTACHMENT 6. Scope of Work_LAO.pdf"/>
    <hyperlink ref="O22" r:id="rId362" tooltip="ATTACHMENT 6. Scope of Work_LAO.pdf"/>
    <hyperlink ref="O21" r:id="rId363" tooltip="ATTACHMENT 6. Scope of Work_LAO.pdf"/>
    <hyperlink ref="O80" r:id="rId364" tooltip="ATTACHMENT 6. Scope of Work_LAO.pdf"/>
    <hyperlink ref="O476" r:id="rId365" tooltip="ATTACHMENT 6. Scope of Work_LAO.pdf"/>
    <hyperlink ref="O472" r:id="rId366" tooltip="ATTACHMENT 6. Scope of Work_LAO.pdf"/>
    <hyperlink ref="O93" r:id="rId367" tooltip="ATTACHMENT 6. Scope of Work_LAO.pdf"/>
    <hyperlink ref="O94" r:id="rId368" tooltip="ATTACHMENT 6. Scope of Work_LAO.pdf"/>
    <hyperlink ref="O43" r:id="rId369" tooltip="ATTACHMENT 6. Scope of Work_LAO.pdf"/>
    <hyperlink ref="O95" r:id="rId370" tooltip="ATTACHMENT 6. Scope of Work_LAO.pdf"/>
    <hyperlink ref="O108" r:id="rId371" tooltip="ATTACHMENT 6. Scope of Work_LAO.pdf"/>
    <hyperlink ref="O359" r:id="rId372" tooltip="ATTACHMENT 6. Scope of Work_LAO.pdf"/>
    <hyperlink ref="O362" r:id="rId373" tooltip="ATTACHMENT 6. Scope of Work_LAO.pdf"/>
    <hyperlink ref="O363" r:id="rId374" tooltip="ATTACHMENT 6. Scope of Work_LAO.pdf"/>
    <hyperlink ref="O364" r:id="rId375" tooltip="ATTACHMENT 6. Scope of Work_LAO.pdf"/>
    <hyperlink ref="O365" r:id="rId376" tooltip="ATTACHMENT 6. Scope of Work_LAO.pdf"/>
    <hyperlink ref="O81" r:id="rId377" tooltip="ATTACHMENT 6. Scope of Work_LAO.pdf"/>
    <hyperlink ref="O34" r:id="rId378" tooltip="ATTACHMENT 6. Scope of Work_LAO.pdf"/>
    <hyperlink ref="O35" r:id="rId379" tooltip="ATTACHMENT 6. Scope of Work_LAO.pdf"/>
    <hyperlink ref="O37" r:id="rId380" tooltip="ATTACHMENT 6. Scope of Work_LAO.pdf"/>
    <hyperlink ref="O46" r:id="rId381" tooltip="ATTACHMENT 6. Scope of Work_LAO.pdf"/>
    <hyperlink ref="O96" r:id="rId382" tooltip="ATTACHMENT 6. Scope of Work_LAO.pdf"/>
    <hyperlink ref="O97" r:id="rId383" tooltip="ATTACHMENT 6. Scope of Work_LAO.pdf"/>
    <hyperlink ref="O98" r:id="rId384" tooltip="ATTACHMENT 6. Scope of Work_LAO.pdf"/>
    <hyperlink ref="O479" r:id="rId385" tooltip="ATTACHMENT 6. Scope of Work_LAO.pdf"/>
    <hyperlink ref="O146" r:id="rId386" tooltip="ATTACHMENT 6. Scope of Work_LAO.pdf"/>
    <hyperlink ref="O358" r:id="rId387" tooltip="ATTACHMENT 6. Scope of Work_LAO.pdf"/>
    <hyperlink ref="O99" r:id="rId388" tooltip="ATTACHMENT 6. Scope of Work_LAO.pdf"/>
    <hyperlink ref="O23" r:id="rId389" tooltip="ATTACHMENT 6. Scope of Work_LAO.pdf"/>
    <hyperlink ref="O515" r:id="rId390" tooltip="ATTACHMENT 6. Scope of Work_LAO.pdf"/>
    <hyperlink ref="O210" r:id="rId391" tooltip="ATTACHMENT 6. Scope of Work_LAO.pdf"/>
    <hyperlink ref="O217" r:id="rId392" tooltip="ATTACHMENT 6. Scope of Work_LAO.pdf"/>
    <hyperlink ref="O45" r:id="rId393" tooltip="ATTACHMENT 6. Scope of Work_LAO.pdf"/>
    <hyperlink ref="Z100" r:id="rId394" tooltip="GCC-CC7-PF-00000-PE-TSP-7001_00_1_Requirements_for_Package_units.pdf"/>
    <hyperlink ref="O100" r:id="rId395" tooltip="ATTACHMENT 6. Scope of Work_LAO.pdf"/>
    <hyperlink ref="O101" r:id="rId396" tooltip="ATTACHMENT 6. Scope of Work_LAO.pdf"/>
    <hyperlink ref="O89" r:id="rId397" tooltip="ATTACHMENT 6. Scope of Work_LAO.pdf"/>
    <hyperlink ref="O211" r:id="rId398" tooltip="ATTACHMENT 6. Scope of Work_LAO.pdf"/>
    <hyperlink ref="O157" r:id="rId399" tooltip="ATTACHMENT 6. Scope of Work_LAO.pdf"/>
    <hyperlink ref="O405" r:id="rId400" tooltip="ATTACHMENT 6. Scope of Work_LAO.pdf"/>
    <hyperlink ref="O413" r:id="rId401" tooltip="ATTACHMENT 6. Scope of Work_LAO.pdf"/>
    <hyperlink ref="O408" r:id="rId402" tooltip="ATTACHMENT 6. Scope of Work_LAO.pdf"/>
    <hyperlink ref="O429" r:id="rId403" tooltip="ATTACHMENT 6. Scope of Work_LAO.pdf"/>
    <hyperlink ref="O419" r:id="rId404" tooltip="ATTACHMENT 6. Scope of Work_LAO.pdf"/>
    <hyperlink ref="O420" r:id="rId405" tooltip="ATTACHMENT 6. Scope of Work_LAO.pdf"/>
    <hyperlink ref="O71" r:id="rId406" tooltip="ATTACHMENT 6. Scope of Work_LAO.pdf"/>
    <hyperlink ref="O36" r:id="rId407" tooltip="ATTACHMENT 6. Scope of Work_LAO.pdf"/>
    <hyperlink ref="O38" r:id="rId408" tooltip="ATTACHMENT 6. Scope of Work_LAO.pdf"/>
    <hyperlink ref="O516" r:id="rId409" tooltip="ATTACHMENT 6. Scope of Work_LAO.pdf"/>
    <hyperlink ref="O47" r:id="rId410" tooltip="ATTACHMENT 6. Scope of Work_LAO.pdf"/>
    <hyperlink ref="O485" r:id="rId411" tooltip="ATTACHMENT 6. Scope of Work_LAO.pdf"/>
    <hyperlink ref="O486" r:id="rId412" tooltip="ATTACHMENT 6. Scope of Work_LAO.pdf"/>
    <hyperlink ref="O487" r:id="rId413" tooltip="ATTACHMENT 6. Scope of Work_LAO.pdf"/>
    <hyperlink ref="O110" r:id="rId414" tooltip="ATTACHMENT 6. Scope of Work_LAO.pdf"/>
    <hyperlink ref="O111" r:id="rId415" tooltip="ATTACHMENT 6. Scope of Work_LAO.pdf"/>
    <hyperlink ref="O112" r:id="rId416" tooltip="ATTACHMENT 6. Scope of Work_LAO.pdf"/>
    <hyperlink ref="O113" r:id="rId417" tooltip="ATTACHMENT 6. Scope of Work_LAO.pdf"/>
    <hyperlink ref="O88" r:id="rId418" tooltip="ATTACHMENT 6. Scope of Work_LAO.pdf"/>
    <hyperlink ref="O273" r:id="rId419" tooltip="ATTACHMENT 6. Scope of Work_LAO.pdf"/>
    <hyperlink ref="O498" r:id="rId420" tooltip="ATTACHMENT 6. Scope of Work_LAO.pdf"/>
    <hyperlink ref="O500" r:id="rId421" tooltip="ATTACHMENT 6. Scope of Work_LAO.pdf"/>
    <hyperlink ref="O506" r:id="rId422" tooltip="ATTACHMENT 6. Scope of Work_LAO.pdf"/>
    <hyperlink ref="O24" r:id="rId423" tooltip="ATTACHMENT 6. Scope of Work_LAO.pdf"/>
    <hyperlink ref="O453" r:id="rId424" tooltip="ATTACHMENT 6. Scope of Work_LAO.pdf"/>
    <hyperlink ref="O48" r:id="rId425" tooltip="ATTACHMENT 6. Scope of Work_LAO.pdf"/>
    <hyperlink ref="O49" r:id="rId426" tooltip="ATTACHMENT 6. Scope of Work_LAO.pdf"/>
    <hyperlink ref="O499" r:id="rId427" tooltip="ATTACHMENT 6. Scope of Work_LAO.pdf"/>
    <hyperlink ref="O489" r:id="rId428" tooltip="ATTACHMENT 6. Scope of Work_LAO.pdf"/>
    <hyperlink ref="O490" r:id="rId429" tooltip="ATTACHMENT 6. Scope of Work_LAO.pdf"/>
    <hyperlink ref="O491" r:id="rId430" tooltip="ATTACHMENT 6. Scope of Work_LAO.pdf"/>
    <hyperlink ref="O492" r:id="rId431" tooltip="ATTACHMENT 6. Scope of Work_LAO.pdf"/>
    <hyperlink ref="O521" r:id="rId432" tooltip="ATTACHMENT 6. Scope of Work_LAO.pdf"/>
    <hyperlink ref="O495" r:id="rId433" tooltip="ATTACHMENT 6. Scope of Work_LAO.pdf"/>
    <hyperlink ref="O520" r:id="rId434" tooltip="ATTACHMENT 6. Scope of Work_LAO.pdf"/>
    <hyperlink ref="O40" r:id="rId435" tooltip="ATTACHMENT 6. Scope of Work_LAO.pdf"/>
    <hyperlink ref="O522" r:id="rId436" tooltip="ATTACHMENT 6. Scope of Work_LAO.pdf"/>
    <hyperlink ref="O493" r:id="rId437" tooltip="ATTACHMENT 6. Scope of Work_LAO.pdf"/>
    <hyperlink ref="O220" r:id="rId438" tooltip="GCC-CC7-PM-00000-CI-TSP-00002_AA_1.pdf"/>
  </hyperlinks>
  <pageMargins left="0.7" right="0.7" top="0.75" bottom="0.75" header="0.3" footer="0.3"/>
  <pageSetup paperSize="8" scale="30" fitToHeight="0" orientation="landscape" r:id="rId4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L6"/>
  <sheetViews>
    <sheetView topLeftCell="A5" workbookViewId="0">
      <selection activeCell="E6" sqref="E6"/>
    </sheetView>
  </sheetViews>
  <sheetFormatPr baseColWidth="10" defaultRowHeight="14.5"/>
  <cols>
    <col min="1" max="1" width="10.7265625" bestFit="1" customWidth="1"/>
    <col min="2" max="2" width="7.36328125" bestFit="1" customWidth="1"/>
    <col min="3" max="3" width="6.90625" bestFit="1" customWidth="1"/>
    <col min="4" max="4" width="9.6328125" bestFit="1" customWidth="1"/>
    <col min="5" max="5" width="79.453125" customWidth="1"/>
    <col min="6" max="6" width="10.7265625" bestFit="1" customWidth="1"/>
    <col min="7" max="7" width="25.36328125" customWidth="1"/>
    <col min="8" max="8" width="8.54296875" bestFit="1" customWidth="1"/>
    <col min="9" max="9" width="4.1796875" bestFit="1" customWidth="1"/>
    <col min="10" max="10" width="10.1796875" bestFit="1" customWidth="1"/>
    <col min="11" max="11" width="9.08984375" bestFit="1" customWidth="1"/>
    <col min="12" max="12" width="6.90625" bestFit="1" customWidth="1"/>
  </cols>
  <sheetData>
    <row r="1" spans="1:12" ht="31">
      <c r="A1" s="35" t="s">
        <v>9</v>
      </c>
      <c r="B1" s="35" t="s">
        <v>10</v>
      </c>
      <c r="C1" s="18" t="s">
        <v>13</v>
      </c>
      <c r="D1" s="19" t="s">
        <v>8</v>
      </c>
      <c r="E1" s="211" t="s">
        <v>419</v>
      </c>
      <c r="F1" s="212" t="s">
        <v>15</v>
      </c>
      <c r="G1" s="212" t="s">
        <v>654</v>
      </c>
      <c r="H1" s="21" t="s">
        <v>326</v>
      </c>
      <c r="I1" s="22" t="s">
        <v>14</v>
      </c>
      <c r="J1" s="21" t="s">
        <v>16</v>
      </c>
      <c r="K1" s="21" t="s">
        <v>17</v>
      </c>
      <c r="L1" s="21" t="s">
        <v>575</v>
      </c>
    </row>
    <row r="2" spans="1:12" ht="174">
      <c r="A2" s="2" t="s">
        <v>2607</v>
      </c>
      <c r="B2" s="2"/>
      <c r="C2" s="2" t="s">
        <v>376</v>
      </c>
      <c r="D2" s="2"/>
      <c r="E2" s="213" t="s">
        <v>2610</v>
      </c>
      <c r="F2" s="209" t="s">
        <v>2321</v>
      </c>
      <c r="G2" s="218" t="s">
        <v>2322</v>
      </c>
      <c r="H2" s="213" t="s">
        <v>2323</v>
      </c>
      <c r="I2" s="216" t="s">
        <v>22</v>
      </c>
      <c r="J2" s="215" t="s">
        <v>2608</v>
      </c>
      <c r="K2" s="219" t="s">
        <v>2609</v>
      </c>
      <c r="L2" s="2"/>
    </row>
    <row r="3" spans="1:12" ht="159.5">
      <c r="A3" s="2" t="s">
        <v>2614</v>
      </c>
      <c r="B3" s="2"/>
      <c r="C3" s="18" t="s">
        <v>376</v>
      </c>
      <c r="D3" s="2"/>
      <c r="E3" s="213" t="s">
        <v>3136</v>
      </c>
      <c r="F3" s="209" t="s">
        <v>2784</v>
      </c>
      <c r="G3" s="239" t="s">
        <v>1598</v>
      </c>
      <c r="H3" s="217"/>
      <c r="I3" s="216" t="s">
        <v>22</v>
      </c>
      <c r="J3" s="215" t="s">
        <v>2766</v>
      </c>
      <c r="K3" s="215" t="s">
        <v>2978</v>
      </c>
      <c r="L3" s="2"/>
    </row>
    <row r="4" spans="1:12" ht="188.5">
      <c r="A4" s="2" t="s">
        <v>2979</v>
      </c>
      <c r="B4" s="2"/>
      <c r="C4" s="18" t="s">
        <v>376</v>
      </c>
      <c r="D4" s="2"/>
      <c r="E4" s="247" t="s">
        <v>3138</v>
      </c>
      <c r="F4" s="209" t="s">
        <v>2784</v>
      </c>
      <c r="G4" s="239" t="s">
        <v>1598</v>
      </c>
      <c r="H4" s="217"/>
      <c r="I4" s="216" t="s">
        <v>22</v>
      </c>
      <c r="J4" s="215" t="s">
        <v>2980</v>
      </c>
      <c r="K4" s="215" t="s">
        <v>2981</v>
      </c>
      <c r="L4" s="2"/>
    </row>
    <row r="5" spans="1:12" ht="130.5">
      <c r="A5" s="2" t="s">
        <v>2982</v>
      </c>
      <c r="B5" s="2"/>
      <c r="C5" s="18" t="s">
        <v>376</v>
      </c>
      <c r="D5" s="2"/>
      <c r="E5" s="213" t="s">
        <v>3139</v>
      </c>
      <c r="F5" s="209" t="s">
        <v>2784</v>
      </c>
      <c r="G5" s="239" t="s">
        <v>1598</v>
      </c>
      <c r="H5" s="217"/>
      <c r="I5" s="216" t="s">
        <v>22</v>
      </c>
      <c r="J5" s="215" t="s">
        <v>2983</v>
      </c>
      <c r="K5" s="215" t="s">
        <v>2981</v>
      </c>
      <c r="L5" s="2"/>
    </row>
    <row r="6" spans="1:12" ht="290">
      <c r="A6" s="37" t="s">
        <v>2999</v>
      </c>
      <c r="B6" s="2"/>
      <c r="C6" s="18" t="s">
        <v>376</v>
      </c>
      <c r="D6" s="2"/>
      <c r="E6" s="213" t="s">
        <v>3141</v>
      </c>
      <c r="F6" s="209" t="s">
        <v>2784</v>
      </c>
      <c r="G6" s="239" t="s">
        <v>1598</v>
      </c>
      <c r="H6" s="217"/>
      <c r="I6" s="216" t="s">
        <v>22</v>
      </c>
      <c r="J6" s="215" t="s">
        <v>3000</v>
      </c>
      <c r="K6" s="215" t="s">
        <v>3001</v>
      </c>
    </row>
  </sheetData>
  <hyperlinks>
    <hyperlink ref="I2" r:id="rId1" tooltip="GCC-CC7-PM-00000-ME-TSP-00006_00_2.pdf"/>
    <hyperlink ref="I3" r:id="rId2" tooltip="ATTACHMENT 6. Scope of Work_LAO.pdf"/>
    <hyperlink ref="I4" r:id="rId3" tooltip="ATTACHMENT 6. Scope of Work_LAO.pdf"/>
    <hyperlink ref="I5" r:id="rId4" tooltip="ATTACHMENT 6. Scope of Work_LAO.pdf"/>
    <hyperlink ref="I6" r:id="rId5" tooltip="ATTACHMENT 6. Scope of Work_LAO.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filterMode="1">
    <tabColor rgb="FFFFFF00"/>
  </sheetPr>
  <dimension ref="B1:D104"/>
  <sheetViews>
    <sheetView topLeftCell="A32" workbookViewId="0">
      <selection activeCell="D106" sqref="D106"/>
    </sheetView>
  </sheetViews>
  <sheetFormatPr baseColWidth="10" defaultRowHeight="14.5"/>
  <cols>
    <col min="2" max="3" width="12.1796875" hidden="1" customWidth="1"/>
    <col min="4" max="4" width="75.54296875" customWidth="1"/>
  </cols>
  <sheetData>
    <row r="1" spans="2:4">
      <c r="B1" t="s">
        <v>2440</v>
      </c>
      <c r="D1" s="222" t="s">
        <v>2486</v>
      </c>
    </row>
    <row r="2" spans="2:4">
      <c r="B2" t="s">
        <v>2338</v>
      </c>
      <c r="C2" t="str">
        <f>B2&amp;B3&amp;B4</f>
        <v xml:space="preserve"> GCC-CC7-PM-00000-HV-TSP-00001. Refer toTechnical Specification for design of HVACSystems</v>
      </c>
      <c r="D2" t="s">
        <v>2445</v>
      </c>
    </row>
    <row r="3" spans="2:4" hidden="1">
      <c r="B3" t="s">
        <v>2339</v>
      </c>
    </row>
    <row r="4" spans="2:4" hidden="1">
      <c r="B4" t="s">
        <v>1472</v>
      </c>
    </row>
    <row r="5" spans="2:4">
      <c r="B5" t="s">
        <v>2340</v>
      </c>
      <c r="C5" t="str">
        <f>B5&amp;B6</f>
        <v xml:space="preserve">• GCC-CC7-PM-00000-CI-TSP-00002. DesignCriteria for Steel Structures </v>
      </c>
      <c r="D5" t="s">
        <v>2446</v>
      </c>
    </row>
    <row r="6" spans="2:4" hidden="1">
      <c r="B6" t="s">
        <v>2341</v>
      </c>
    </row>
    <row r="7" spans="2:4">
      <c r="B7" t="s">
        <v>2342</v>
      </c>
      <c r="C7" t="str">
        <f>B7&amp;B8</f>
        <v xml:space="preserve">• GCC-CC7-PM-00000-CI-TSP-00003. ExternalPainting Specification </v>
      </c>
      <c r="D7" t="s">
        <v>2447</v>
      </c>
    </row>
    <row r="8" spans="2:4" hidden="1">
      <c r="B8" t="s">
        <v>2343</v>
      </c>
    </row>
    <row r="9" spans="2:4">
      <c r="B9" t="s">
        <v>2344</v>
      </c>
      <c r="C9" t="str">
        <f>B9&amp;B10</f>
        <v xml:space="preserve">• GCC-CC7-PM-00000-CI-TSP-00005. DesignCriteria for corrosion protection, PFP and CSP </v>
      </c>
      <c r="D9" t="s">
        <v>2448</v>
      </c>
    </row>
    <row r="10" spans="2:4" hidden="1">
      <c r="B10" t="s">
        <v>2345</v>
      </c>
    </row>
    <row r="11" spans="2:4">
      <c r="B11" t="s">
        <v>2346</v>
      </c>
      <c r="C11" t="str">
        <f>B11&amp;B12</f>
        <v>• GCC-CC7-PM-00000-CI-TSP-00008. DesignCriteria for Buildings</v>
      </c>
      <c r="D11" t="s">
        <v>2449</v>
      </c>
    </row>
    <row r="12" spans="2:4" hidden="1">
      <c r="B12" t="s">
        <v>2347</v>
      </c>
    </row>
    <row r="13" spans="2:4">
      <c r="B13" t="s">
        <v>2348</v>
      </c>
      <c r="C13" t="str">
        <f>B13&amp;B14&amp;B15</f>
        <v xml:space="preserve">• GCC-CC7-PM-00000-EL-TSP-00001. ElectricalBasis of Design. Requirements to plant facilitieselectric supply engineering </v>
      </c>
      <c r="D13" t="s">
        <v>2450</v>
      </c>
    </row>
    <row r="14" spans="2:4" hidden="1">
      <c r="B14" t="s">
        <v>2349</v>
      </c>
    </row>
    <row r="15" spans="2:4" hidden="1">
      <c r="B15" t="s">
        <v>2350</v>
      </c>
    </row>
    <row r="16" spans="2:4">
      <c r="B16" t="s">
        <v>2351</v>
      </c>
      <c r="C16" t="str">
        <f>B16&amp;B17</f>
        <v xml:space="preserve">• GCC-CC7-PM-00000-EL-TSP-00002. TechnicalRequirements to LV variable frequency drives </v>
      </c>
      <c r="D16" t="s">
        <v>2451</v>
      </c>
    </row>
    <row r="17" spans="2:4" hidden="1">
      <c r="B17" t="s">
        <v>2352</v>
      </c>
    </row>
    <row r="18" spans="2:4">
      <c r="B18" t="s">
        <v>2353</v>
      </c>
      <c r="C18" t="str">
        <f>B18&amp;B19</f>
        <v>• GCC-CC7-PM-00000-EL-TSP-00003. Technicalrequirements to power transformers</v>
      </c>
      <c r="D18" t="s">
        <v>2452</v>
      </c>
    </row>
    <row r="19" spans="2:4" hidden="1">
      <c r="B19" t="s">
        <v>2354</v>
      </c>
    </row>
    <row r="20" spans="2:4">
      <c r="B20" t="s">
        <v>2355</v>
      </c>
      <c r="C20" t="str">
        <f>B20&amp;B21</f>
        <v xml:space="preserve">• GCC-CC7-PM-00000-EL-TSP-00004. Technicalrequirements to electrical motors </v>
      </c>
      <c r="D20" t="s">
        <v>2453</v>
      </c>
    </row>
    <row r="21" spans="2:4" hidden="1">
      <c r="B21" t="s">
        <v>2356</v>
      </c>
    </row>
    <row r="22" spans="2:4">
      <c r="B22" t="s">
        <v>2357</v>
      </c>
      <c r="C22" t="str">
        <f>B22&amp;B23</f>
        <v xml:space="preserve">GCC-CC7-PM-00000-EL-TSP-00005. Technicalrequirements to UPSs </v>
      </c>
      <c r="D22" t="s">
        <v>2441</v>
      </c>
    </row>
    <row r="23" spans="2:4" hidden="1">
      <c r="B23" t="s">
        <v>2358</v>
      </c>
    </row>
    <row r="24" spans="2:4">
      <c r="B24" t="s">
        <v>2359</v>
      </c>
      <c r="C24" t="str">
        <f>B24&amp;B25</f>
        <v>• GCC-CC7-PM-00000-EL-TSP-00006. Technicalrequirements to MV switchgear</v>
      </c>
      <c r="D24" t="s">
        <v>2454</v>
      </c>
    </row>
    <row r="25" spans="2:4" hidden="1">
      <c r="B25" t="s">
        <v>2360</v>
      </c>
    </row>
    <row r="26" spans="2:4">
      <c r="B26" t="s">
        <v>2361</v>
      </c>
      <c r="C26" t="str">
        <f>B26&amp;B27</f>
        <v xml:space="preserve">• GCC-CC7-PM-00000-EL-TSP-00007. Technicalrequirements to LV switchgear </v>
      </c>
      <c r="D26" t="s">
        <v>2455</v>
      </c>
    </row>
    <row r="27" spans="2:4" hidden="1">
      <c r="B27" t="s">
        <v>2362</v>
      </c>
    </row>
    <row r="28" spans="2:4">
      <c r="B28" t="s">
        <v>2363</v>
      </c>
      <c r="C28" t="str">
        <f>B28&amp;B29</f>
        <v xml:space="preserve">• GCC-CC7-PM-00000-EL-TSP-00008. Technicalrequirements to power cables </v>
      </c>
      <c r="D28" t="s">
        <v>2456</v>
      </c>
    </row>
    <row r="29" spans="2:4" hidden="1">
      <c r="B29" t="s">
        <v>2364</v>
      </c>
    </row>
    <row r="30" spans="2:4">
      <c r="B30" t="s">
        <v>2365</v>
      </c>
      <c r="C30" t="str">
        <f>B30&amp;B31</f>
        <v xml:space="preserve">• GCC-CC7-PM-00000-EL-TSP-00009. Technicalrequirements to MV variable frequency drive </v>
      </c>
      <c r="D30" t="s">
        <v>2457</v>
      </c>
    </row>
    <row r="31" spans="2:4" hidden="1">
      <c r="B31" t="s">
        <v>2366</v>
      </c>
    </row>
    <row r="32" spans="2:4">
      <c r="B32" t="s">
        <v>2367</v>
      </c>
      <c r="C32" t="str">
        <f>B32&amp;B33</f>
        <v>• GCC-CC7-PM-00000-EL-TSP-00010. Technicalrequirements to electrical tracing systems</v>
      </c>
      <c r="D32" t="s">
        <v>2458</v>
      </c>
    </row>
    <row r="33" spans="2:4" hidden="1">
      <c r="B33" t="s">
        <v>2368</v>
      </c>
    </row>
    <row r="34" spans="2:4">
      <c r="B34" t="s">
        <v>2369</v>
      </c>
      <c r="C34" t="str">
        <f>B34&amp;B35</f>
        <v xml:space="preserve">• GCC-CC7-PM-00000-EL-TSP-00011. Technicalrequirements package units electrical equipment </v>
      </c>
      <c r="D34" t="s">
        <v>2459</v>
      </c>
    </row>
    <row r="35" spans="2:4" hidden="1">
      <c r="B35" t="s">
        <v>2370</v>
      </c>
    </row>
    <row r="36" spans="2:4">
      <c r="B36" t="s">
        <v>2371</v>
      </c>
      <c r="C36" t="str">
        <f>B36&amp;B37&amp;B38&amp;B39</f>
        <v xml:space="preserve">• GCC-CC7-PM-00000-EL-TSP-00012. Technicalrequirements to lightning protection and grounding systems </v>
      </c>
      <c r="D36" t="s">
        <v>2460</v>
      </c>
    </row>
    <row r="37" spans="2:4" hidden="1">
      <c r="B37" t="s">
        <v>2372</v>
      </c>
    </row>
    <row r="38" spans="2:4" hidden="1">
      <c r="B38" t="s">
        <v>2373</v>
      </c>
    </row>
    <row r="39" spans="2:4" hidden="1">
      <c r="B39" t="s">
        <v>2374</v>
      </c>
    </row>
    <row r="40" spans="2:4">
      <c r="B40" t="s">
        <v>2375</v>
      </c>
      <c r="C40" t="str">
        <f>B40&amp;B41</f>
        <v>• GCC-CC7-PM-00000-EL-TSP-00017. Technicalrequirements to lighting systems</v>
      </c>
      <c r="D40" t="s">
        <v>2461</v>
      </c>
    </row>
    <row r="41" spans="2:4" hidden="1">
      <c r="B41" t="s">
        <v>2376</v>
      </c>
    </row>
    <row r="42" spans="2:4">
      <c r="B42" t="s">
        <v>2377</v>
      </c>
      <c r="C42" t="str">
        <f>B42&amp;B43&amp;B44</f>
        <v xml:space="preserve">• GCC-CC7-PM-00000-EL-TSP-00018. TechnicalRequirements to power factor compensationequipment </v>
      </c>
      <c r="D42" t="s">
        <v>2462</v>
      </c>
    </row>
    <row r="43" spans="2:4" hidden="1">
      <c r="B43" t="s">
        <v>2378</v>
      </c>
    </row>
    <row r="44" spans="2:4" hidden="1">
      <c r="B44" t="s">
        <v>2379</v>
      </c>
    </row>
    <row r="45" spans="2:4">
      <c r="B45" t="s">
        <v>2380</v>
      </c>
      <c r="C45" t="str">
        <f>B45&amp;B46</f>
        <v xml:space="preserve">• GCC-CC7-PM-00000-IN-TSP-00001. Technicalspecifications for instrumental cables </v>
      </c>
      <c r="D45" t="s">
        <v>2463</v>
      </c>
    </row>
    <row r="46" spans="2:4" hidden="1">
      <c r="B46" t="s">
        <v>2381</v>
      </c>
    </row>
    <row r="47" spans="2:4">
      <c r="B47" t="s">
        <v>2382</v>
      </c>
      <c r="C47" t="str">
        <f>B47&amp;B48</f>
        <v>• GCC-CC7-PM-00000-IN-TSP-00002. Technicalspecifications for Instrumentation</v>
      </c>
      <c r="D47" t="s">
        <v>2464</v>
      </c>
    </row>
    <row r="48" spans="2:4" hidden="1">
      <c r="B48" t="s">
        <v>2383</v>
      </c>
    </row>
    <row r="49" spans="2:4">
      <c r="B49" t="s">
        <v>2384</v>
      </c>
      <c r="C49" t="str">
        <f>B49&amp;B50</f>
        <v xml:space="preserve">• GCC-CC7-PM-00000-IN-TSP-00003. Technicalspecifications for Analyzer Systems </v>
      </c>
      <c r="D49" t="s">
        <v>2465</v>
      </c>
    </row>
    <row r="50" spans="2:4" hidden="1">
      <c r="B50" t="s">
        <v>2385</v>
      </c>
    </row>
    <row r="51" spans="2:4">
      <c r="B51" t="s">
        <v>2386</v>
      </c>
      <c r="C51" t="str">
        <f>B51&amp;B52&amp;B53</f>
        <v xml:space="preserve">• GCC-CC7-PM-00000-IN-TSP-00004. Interfacebetween Electical an Instrumental parts. Typicalconnections with electrical equipment. </v>
      </c>
      <c r="D51" t="s">
        <v>2466</v>
      </c>
    </row>
    <row r="52" spans="2:4" hidden="1">
      <c r="B52" t="s">
        <v>2387</v>
      </c>
    </row>
    <row r="53" spans="2:4" hidden="1">
      <c r="B53" t="s">
        <v>2388</v>
      </c>
    </row>
    <row r="54" spans="2:4">
      <c r="B54" t="s">
        <v>2389</v>
      </c>
      <c r="C54" t="str">
        <f>B54&amp;B55</f>
        <v>• GCC-CC7-PM-00000-IN-TSP-00005. Typicalinstrument air piping details;</v>
      </c>
      <c r="D54" t="s">
        <v>2467</v>
      </c>
    </row>
    <row r="55" spans="2:4" hidden="1">
      <c r="B55" t="s">
        <v>2390</v>
      </c>
    </row>
    <row r="56" spans="2:4">
      <c r="B56" t="s">
        <v>2391</v>
      </c>
      <c r="C56" t="str">
        <f>B56&amp;B57</f>
        <v xml:space="preserve">• GCC-CC7-PM-00000-IN-TSP-00006. Typicalinstrumentation mounting details </v>
      </c>
      <c r="D56" t="s">
        <v>2468</v>
      </c>
    </row>
    <row r="57" spans="2:4" hidden="1">
      <c r="B57" t="s">
        <v>2392</v>
      </c>
    </row>
    <row r="58" spans="2:4">
      <c r="B58" t="s">
        <v>2393</v>
      </c>
      <c r="C58" t="str">
        <f>B58&amp;B59</f>
        <v xml:space="preserve">• GCC-CC7-PM-00000-IN-TSP-00007. Typicalinstrument process piping details </v>
      </c>
      <c r="D58" t="s">
        <v>2469</v>
      </c>
    </row>
    <row r="59" spans="2:4" hidden="1">
      <c r="B59" t="s">
        <v>2394</v>
      </c>
    </row>
    <row r="60" spans="2:4">
      <c r="B60" t="s">
        <v>2395</v>
      </c>
      <c r="C60" t="str">
        <f>B60&amp;B61</f>
        <v xml:space="preserve">• GCC-CC7-PM-00000-IN-TSP-00008. Technicalspecifications for radiometric instruments </v>
      </c>
      <c r="D60" t="s">
        <v>2470</v>
      </c>
    </row>
    <row r="61" spans="2:4" hidden="1">
      <c r="B61" t="s">
        <v>2396</v>
      </c>
    </row>
    <row r="62" spans="2:4">
      <c r="B62" t="s">
        <v>2397</v>
      </c>
      <c r="C62" t="str">
        <f>B62&amp;B63</f>
        <v>• GCC-CC7-PM-00000-IN-TSP-00009. Technicalspecifications for package unit instrumentation</v>
      </c>
      <c r="D62" t="s">
        <v>2471</v>
      </c>
    </row>
    <row r="63" spans="2:4" hidden="1">
      <c r="B63" t="s">
        <v>2398</v>
      </c>
    </row>
    <row r="64" spans="2:4">
      <c r="B64" t="s">
        <v>2399</v>
      </c>
      <c r="C64" t="str">
        <f>B64&amp;B65&amp;B66</f>
        <v>• GCC-CC7-PM-00000-IN-TSP-00010. Technicalspecification for Instrument junction boxes andlocal panels</v>
      </c>
      <c r="D64" t="s">
        <v>2472</v>
      </c>
    </row>
    <row r="65" spans="2:4" hidden="1">
      <c r="B65" t="s">
        <v>2400</v>
      </c>
    </row>
    <row r="66" spans="2:4" hidden="1">
      <c r="B66" t="s">
        <v>2401</v>
      </c>
    </row>
    <row r="67" spans="2:4">
      <c r="B67" t="s">
        <v>2402</v>
      </c>
      <c r="C67" t="str">
        <f>B67&amp;B68&amp;B69</f>
        <v xml:space="preserve"> GCC-MAC-PM-00000-IN-TSP-00023. Technicalrequirements to the engineering of RotatingEquipment Vibro Monitoring Systems </v>
      </c>
      <c r="D67" t="s">
        <v>2473</v>
      </c>
    </row>
    <row r="68" spans="2:4" hidden="1">
      <c r="B68" t="s">
        <v>2403</v>
      </c>
    </row>
    <row r="69" spans="2:4" hidden="1">
      <c r="B69" t="s">
        <v>2404</v>
      </c>
    </row>
    <row r="70" spans="2:4">
      <c r="B70" t="s">
        <v>2405</v>
      </c>
      <c r="C70" t="str">
        <f>B70&amp;B71&amp;B72</f>
        <v xml:space="preserve">• GCC-CC7-PM-00000-PE-PRO-00204.Procedure for identification of equipment, valvesand pipelines, buildings and structures </v>
      </c>
      <c r="D70" t="s">
        <v>2474</v>
      </c>
    </row>
    <row r="71" spans="2:4" hidden="1">
      <c r="B71" t="s">
        <v>2406</v>
      </c>
    </row>
    <row r="72" spans="2:4" hidden="1">
      <c r="B72" t="s">
        <v>2407</v>
      </c>
    </row>
    <row r="73" spans="2:4">
      <c r="B73" t="s">
        <v>2408</v>
      </c>
      <c r="C73" t="str">
        <f>B73&amp;B74</f>
        <v xml:space="preserve">• GCC-CC7-PM-00000-PE-PRO-00209. P&amp;IDsModel Development Procedure. </v>
      </c>
      <c r="D73" t="s">
        <v>2475</v>
      </c>
    </row>
    <row r="74" spans="2:4" hidden="1">
      <c r="B74" t="s">
        <v>2409</v>
      </c>
    </row>
    <row r="75" spans="2:4">
      <c r="B75" t="s">
        <v>2410</v>
      </c>
      <c r="C75" t="str">
        <f>B75&amp;B76&amp;B77&amp;B78</f>
        <v xml:space="preserve">• GCC-CC7-PM-00000-PI-TSP-00001. TechnicalRequirements to pipelines engineering, installation and acceptance </v>
      </c>
      <c r="D75" t="s">
        <v>2476</v>
      </c>
    </row>
    <row r="76" spans="2:4" hidden="1">
      <c r="B76" t="s">
        <v>2411</v>
      </c>
    </row>
    <row r="77" spans="2:4" hidden="1">
      <c r="B77" t="s">
        <v>2412</v>
      </c>
    </row>
    <row r="78" spans="2:4" hidden="1">
      <c r="B78" t="s">
        <v>2413</v>
      </c>
    </row>
    <row r="79" spans="2:4">
      <c r="B79" t="s">
        <v>2414</v>
      </c>
      <c r="C79" t="str">
        <f>B79&amp;B80</f>
        <v>• GCC-CC7-PM-00000-PE-SPE-00216. 3D ModelSpecification</v>
      </c>
      <c r="D79" t="s">
        <v>2477</v>
      </c>
    </row>
    <row r="80" spans="2:4" hidden="1">
      <c r="B80" t="s">
        <v>2415</v>
      </c>
    </row>
    <row r="81" spans="2:4">
      <c r="B81" t="s">
        <v>2416</v>
      </c>
      <c r="C81" t="str">
        <f>B81&amp;B82</f>
        <v xml:space="preserve">• GCC-CC7-PM-00000-ME-TSP-00001.Technical requirements for static equipment </v>
      </c>
      <c r="D81" t="s">
        <v>2478</v>
      </c>
    </row>
    <row r="82" spans="2:4" hidden="1">
      <c r="B82" t="s">
        <v>2417</v>
      </c>
    </row>
    <row r="83" spans="2:4">
      <c r="B83" t="s">
        <v>2418</v>
      </c>
      <c r="C83" t="str">
        <f>B83&amp;B84</f>
        <v xml:space="preserve">• GCC-CC7-PM-00000-ME-TSP-00002.Technical requirements for dynamic equipment </v>
      </c>
      <c r="D83" t="s">
        <v>2479</v>
      </c>
    </row>
    <row r="84" spans="2:4" hidden="1">
      <c r="B84" t="s">
        <v>2419</v>
      </c>
    </row>
    <row r="85" spans="2:4">
      <c r="B85" t="s">
        <v>2420</v>
      </c>
      <c r="C85" t="str">
        <f>B85&amp;B86</f>
        <v>• GCC-CC7-PF-00000-EL-TSP-9004. ElectricMotors Specification</v>
      </c>
      <c r="D85" t="s">
        <v>2480</v>
      </c>
    </row>
    <row r="86" spans="2:4" hidden="1">
      <c r="B86" t="s">
        <v>2421</v>
      </c>
    </row>
    <row r="87" spans="2:4">
      <c r="B87" t="s">
        <v>2422</v>
      </c>
      <c r="C87" t="str">
        <f>B87&amp;B88</f>
        <v xml:space="preserve">• GCC-CC7-PM-00000-ME-TSP-00008. Basicprinciples of winterization philosophy </v>
      </c>
      <c r="D87" t="s">
        <v>2481</v>
      </c>
    </row>
    <row r="88" spans="2:4" hidden="1">
      <c r="B88" t="s">
        <v>2423</v>
      </c>
    </row>
    <row r="89" spans="2:4">
      <c r="B89" t="s">
        <v>2424</v>
      </c>
      <c r="C89" t="str">
        <f>B89&amp;B90</f>
        <v xml:space="preserve">• GCC-CC7-PM-00000-ME-TSP-00009.Heatinsulation of pipelines and equipment </v>
      </c>
      <c r="D89" t="s">
        <v>2482</v>
      </c>
    </row>
    <row r="90" spans="2:4" hidden="1">
      <c r="B90" t="s">
        <v>2425</v>
      </c>
    </row>
    <row r="91" spans="2:4">
      <c r="B91" t="s">
        <v>2426</v>
      </c>
      <c r="C91" t="str">
        <f>B91&amp;B92</f>
        <v>• GCC-TGI-SE-00000-EH-REP-00001. Engineering and Hydrometeorological Surveys</v>
      </c>
      <c r="D91" t="s">
        <v>2483</v>
      </c>
    </row>
    <row r="92" spans="2:4" hidden="1">
      <c r="B92" t="s">
        <v>2427</v>
      </c>
    </row>
    <row r="93" spans="2:4">
      <c r="B93" t="s">
        <v>2428</v>
      </c>
      <c r="C93" t="str">
        <f>B93&amp;B94</f>
        <v>GCC-CC7-PM-00000-PI-TSP-00003. Strengthanalysys (pipelines) manual</v>
      </c>
      <c r="D93" t="s">
        <v>2442</v>
      </c>
    </row>
    <row r="94" spans="2:4" hidden="1">
      <c r="B94" t="s">
        <v>2429</v>
      </c>
    </row>
    <row r="95" spans="2:4">
      <c r="B95" t="s">
        <v>2430</v>
      </c>
      <c r="C95" t="str">
        <f>B95&amp;B96&amp;B97</f>
        <v>GCC-CC7-PM-00000-PI-TSP-00004. TechnicalRequirements to pipeline valves (shut-off andsafety relief valves)</v>
      </c>
      <c r="D95" t="s">
        <v>2443</v>
      </c>
    </row>
    <row r="96" spans="2:4" hidden="1">
      <c r="B96" t="s">
        <v>2431</v>
      </c>
    </row>
    <row r="97" spans="2:4" hidden="1">
      <c r="B97" t="s">
        <v>2432</v>
      </c>
    </row>
    <row r="98" spans="2:4">
      <c r="B98" t="s">
        <v>2433</v>
      </c>
      <c r="C98" t="str">
        <f>B98&amp;B99&amp;B100</f>
        <v>GCC-CC7-PM-00000-PI-TSP-00005. TechnicalRequirements to pipeline materials (pipes,fittings, flanges and boltings, and gaskets)</v>
      </c>
      <c r="D98" t="s">
        <v>2444</v>
      </c>
    </row>
    <row r="99" spans="2:4" hidden="1">
      <c r="B99" t="s">
        <v>2434</v>
      </c>
    </row>
    <row r="100" spans="2:4" hidden="1">
      <c r="B100" t="s">
        <v>2435</v>
      </c>
    </row>
    <row r="101" spans="2:4">
      <c r="B101" t="s">
        <v>2436</v>
      </c>
      <c r="C101" t="str">
        <f>B101&amp;B102</f>
        <v xml:space="preserve">• GCC-CC7-PM-00000-PI-TSP-00006. Liftingmachines and structures Specification </v>
      </c>
      <c r="D101" t="s">
        <v>2484</v>
      </c>
    </row>
    <row r="102" spans="2:4" hidden="1">
      <c r="B102" t="s">
        <v>2437</v>
      </c>
    </row>
    <row r="103" spans="2:4">
      <c r="B103" t="s">
        <v>2438</v>
      </c>
      <c r="C103" t="str">
        <f>B103&amp;B104</f>
        <v>• GCC-MAC-PM-00000-IN-TSP-00018. Technicalrequirements for Operator training simulator</v>
      </c>
      <c r="D103" t="s">
        <v>2485</v>
      </c>
    </row>
    <row r="104" spans="2:4" hidden="1">
      <c r="B104" t="s">
        <v>2439</v>
      </c>
    </row>
  </sheetData>
  <autoFilter ref="B1:D104">
    <filterColumn colId="2">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O28"/>
  <sheetViews>
    <sheetView workbookViewId="0">
      <selection activeCell="C4" sqref="C4"/>
    </sheetView>
  </sheetViews>
  <sheetFormatPr baseColWidth="10" defaultRowHeight="14.5"/>
  <cols>
    <col min="1" max="1" width="48.54296875" customWidth="1"/>
    <col min="9" max="9" width="29.1796875" customWidth="1"/>
  </cols>
  <sheetData>
    <row r="1" spans="1:15" ht="77.5">
      <c r="A1" s="20" t="s">
        <v>419</v>
      </c>
      <c r="B1" s="21" t="s">
        <v>15</v>
      </c>
      <c r="C1" s="21" t="s">
        <v>654</v>
      </c>
      <c r="D1" s="21" t="s">
        <v>326</v>
      </c>
      <c r="E1" s="22" t="s">
        <v>14</v>
      </c>
      <c r="F1" s="21" t="s">
        <v>16</v>
      </c>
      <c r="G1" s="21" t="s">
        <v>17</v>
      </c>
      <c r="H1" s="21" t="s">
        <v>575</v>
      </c>
      <c r="I1" s="20" t="s">
        <v>419</v>
      </c>
      <c r="J1" s="21" t="s">
        <v>15</v>
      </c>
      <c r="K1" s="21" t="s">
        <v>654</v>
      </c>
      <c r="L1" s="21" t="s">
        <v>326</v>
      </c>
      <c r="M1" s="22" t="s">
        <v>14</v>
      </c>
      <c r="N1" s="21" t="s">
        <v>16</v>
      </c>
      <c r="O1" s="21" t="s">
        <v>17</v>
      </c>
    </row>
    <row r="2" spans="1:15" ht="87">
      <c r="A2" s="17" t="s">
        <v>1105</v>
      </c>
      <c r="B2" s="41" t="s">
        <v>1080</v>
      </c>
      <c r="C2" s="41" t="s">
        <v>1081</v>
      </c>
      <c r="D2" s="41">
        <v>0</v>
      </c>
      <c r="E2" s="42" t="s">
        <v>22</v>
      </c>
      <c r="F2" s="12" t="s">
        <v>1106</v>
      </c>
      <c r="G2" s="12" t="s">
        <v>1092</v>
      </c>
      <c r="H2" s="17"/>
      <c r="I2" s="17"/>
      <c r="J2" s="17"/>
      <c r="K2" s="17"/>
      <c r="L2" s="17"/>
      <c r="M2" s="17"/>
      <c r="N2" s="17"/>
      <c r="O2" s="17"/>
    </row>
    <row r="3" spans="1:15" ht="116">
      <c r="A3" s="17" t="s">
        <v>1344</v>
      </c>
      <c r="B3" s="41" t="s">
        <v>1110</v>
      </c>
      <c r="C3" s="41" t="s">
        <v>1111</v>
      </c>
      <c r="D3" s="41">
        <v>0</v>
      </c>
      <c r="E3" s="42" t="s">
        <v>22</v>
      </c>
      <c r="F3" s="17" t="s">
        <v>1345</v>
      </c>
      <c r="G3" s="23" t="s">
        <v>1346</v>
      </c>
      <c r="H3" s="17" t="s">
        <v>1354</v>
      </c>
      <c r="I3" s="17"/>
      <c r="J3" s="17"/>
      <c r="K3" s="17"/>
      <c r="L3" s="17"/>
      <c r="M3" s="17"/>
      <c r="N3" s="17"/>
      <c r="O3" s="17"/>
    </row>
    <row r="4" spans="1:15" ht="87">
      <c r="A4" s="17" t="s">
        <v>1404</v>
      </c>
      <c r="B4" s="41" t="s">
        <v>1110</v>
      </c>
      <c r="C4" s="41" t="s">
        <v>1111</v>
      </c>
      <c r="D4" s="41">
        <v>0</v>
      </c>
      <c r="E4" s="42" t="s">
        <v>22</v>
      </c>
      <c r="F4" s="17" t="s">
        <v>1402</v>
      </c>
      <c r="G4" s="23" t="s">
        <v>1403</v>
      </c>
      <c r="H4" s="17"/>
      <c r="I4" s="17"/>
      <c r="J4" s="17"/>
      <c r="K4" s="17"/>
      <c r="L4" s="17"/>
      <c r="M4" s="17"/>
      <c r="N4" s="17"/>
      <c r="O4" s="17"/>
    </row>
    <row r="5" spans="1:15" ht="58">
      <c r="A5" s="17" t="s">
        <v>865</v>
      </c>
      <c r="B5" s="12" t="s">
        <v>823</v>
      </c>
      <c r="C5" s="12" t="s">
        <v>664</v>
      </c>
      <c r="D5" s="12">
        <v>0</v>
      </c>
      <c r="E5" s="12" t="s">
        <v>22</v>
      </c>
      <c r="F5" s="12" t="s">
        <v>680</v>
      </c>
      <c r="G5" s="12" t="s">
        <v>862</v>
      </c>
      <c r="H5" s="17"/>
      <c r="I5" s="17"/>
      <c r="J5" s="17"/>
      <c r="K5" s="17"/>
      <c r="L5" s="17"/>
      <c r="M5" s="17"/>
      <c r="N5" s="17"/>
      <c r="O5" s="17"/>
    </row>
    <row r="6" spans="1:15" ht="58">
      <c r="A6" s="17" t="s">
        <v>888</v>
      </c>
      <c r="B6" s="12" t="s">
        <v>823</v>
      </c>
      <c r="C6" s="12" t="s">
        <v>664</v>
      </c>
      <c r="D6" s="12">
        <v>0</v>
      </c>
      <c r="E6" s="12" t="s">
        <v>22</v>
      </c>
      <c r="F6" s="12" t="s">
        <v>689</v>
      </c>
      <c r="G6" s="12" t="s">
        <v>885</v>
      </c>
      <c r="H6" s="17"/>
      <c r="I6" s="17"/>
      <c r="J6" s="17"/>
      <c r="K6" s="17"/>
      <c r="L6" s="17"/>
      <c r="M6" s="17"/>
      <c r="N6" s="17"/>
      <c r="O6" s="17"/>
    </row>
    <row r="7" spans="1:15" ht="188.5">
      <c r="A7" s="17" t="s">
        <v>1390</v>
      </c>
      <c r="B7" s="41" t="s">
        <v>1110</v>
      </c>
      <c r="C7" s="41" t="s">
        <v>1111</v>
      </c>
      <c r="D7" s="41">
        <v>0</v>
      </c>
      <c r="E7" s="42" t="s">
        <v>22</v>
      </c>
      <c r="F7" s="17" t="s">
        <v>1391</v>
      </c>
      <c r="G7" s="23" t="s">
        <v>1388</v>
      </c>
      <c r="H7" s="17"/>
      <c r="I7" s="17"/>
      <c r="J7" s="17"/>
      <c r="K7" s="17"/>
      <c r="L7" s="17"/>
      <c r="M7" s="17"/>
      <c r="N7" s="17"/>
      <c r="O7" s="17"/>
    </row>
    <row r="8" spans="1:15" ht="87">
      <c r="A8" s="17" t="s">
        <v>884</v>
      </c>
      <c r="B8" s="12" t="s">
        <v>823</v>
      </c>
      <c r="C8" s="12" t="s">
        <v>664</v>
      </c>
      <c r="D8" s="12">
        <v>0</v>
      </c>
      <c r="E8" s="12" t="s">
        <v>22</v>
      </c>
      <c r="F8" s="12" t="s">
        <v>689</v>
      </c>
      <c r="G8" s="12" t="s">
        <v>885</v>
      </c>
      <c r="H8" s="17"/>
      <c r="I8" s="17"/>
      <c r="J8" s="17"/>
      <c r="K8" s="17"/>
      <c r="L8" s="17"/>
      <c r="M8" s="17"/>
      <c r="N8" s="17"/>
      <c r="O8" s="17"/>
    </row>
    <row r="9" spans="1:15" ht="87">
      <c r="A9" s="39" t="s">
        <v>896</v>
      </c>
      <c r="B9" s="12" t="s">
        <v>823</v>
      </c>
      <c r="C9" s="12" t="s">
        <v>664</v>
      </c>
      <c r="D9" s="12">
        <v>0</v>
      </c>
      <c r="E9" s="12" t="s">
        <v>22</v>
      </c>
      <c r="F9" s="12" t="s">
        <v>689</v>
      </c>
      <c r="G9" s="12" t="s">
        <v>893</v>
      </c>
      <c r="H9" s="17"/>
      <c r="I9" s="17"/>
      <c r="J9" s="17"/>
      <c r="K9" s="17"/>
      <c r="L9" s="17"/>
      <c r="M9" s="17"/>
      <c r="N9" s="17"/>
      <c r="O9" s="17"/>
    </row>
    <row r="10" spans="1:15" ht="130.5">
      <c r="A10" s="17" t="s">
        <v>1953</v>
      </c>
      <c r="B10" s="12" t="s">
        <v>823</v>
      </c>
      <c r="C10" s="12" t="s">
        <v>664</v>
      </c>
      <c r="D10" s="12">
        <v>0</v>
      </c>
      <c r="E10" s="12" t="s">
        <v>22</v>
      </c>
      <c r="F10" s="12" t="s">
        <v>689</v>
      </c>
      <c r="G10" s="12" t="s">
        <v>885</v>
      </c>
      <c r="H10" s="17"/>
      <c r="I10" s="17"/>
      <c r="J10" s="17"/>
      <c r="K10" s="17"/>
      <c r="L10" s="17"/>
      <c r="M10" s="17"/>
      <c r="N10" s="17"/>
      <c r="O10" s="17"/>
    </row>
    <row r="11" spans="1:15" ht="43.5">
      <c r="A11" s="17" t="s">
        <v>895</v>
      </c>
      <c r="B11" s="12" t="s">
        <v>823</v>
      </c>
      <c r="C11" s="12" t="s">
        <v>664</v>
      </c>
      <c r="D11" s="12">
        <v>0</v>
      </c>
      <c r="E11" s="12" t="s">
        <v>22</v>
      </c>
      <c r="F11" s="12" t="s">
        <v>689</v>
      </c>
      <c r="G11" s="12" t="s">
        <v>893</v>
      </c>
      <c r="H11" s="17"/>
      <c r="I11" s="17"/>
      <c r="J11" s="17"/>
      <c r="K11" s="17"/>
      <c r="L11" s="17"/>
      <c r="M11" s="17"/>
      <c r="N11" s="17"/>
      <c r="O11" s="17"/>
    </row>
    <row r="12" spans="1:15" ht="87">
      <c r="A12" s="17" t="s">
        <v>898</v>
      </c>
      <c r="B12" s="12" t="s">
        <v>823</v>
      </c>
      <c r="C12" s="12" t="s">
        <v>664</v>
      </c>
      <c r="D12" s="12">
        <v>0</v>
      </c>
      <c r="E12" s="12" t="s">
        <v>22</v>
      </c>
      <c r="F12" s="12" t="s">
        <v>689</v>
      </c>
      <c r="G12" s="12" t="s">
        <v>893</v>
      </c>
      <c r="H12" s="17"/>
      <c r="I12" s="17"/>
      <c r="J12" s="17"/>
      <c r="K12" s="17"/>
      <c r="L12" s="17"/>
      <c r="M12" s="17"/>
      <c r="N12" s="17"/>
      <c r="O12" s="17"/>
    </row>
    <row r="13" spans="1:15" ht="159.5">
      <c r="A13" s="2" t="s">
        <v>1475</v>
      </c>
      <c r="B13" s="41" t="s">
        <v>1428</v>
      </c>
      <c r="C13" s="41" t="s">
        <v>711</v>
      </c>
      <c r="D13" s="41">
        <v>0</v>
      </c>
      <c r="E13" s="42" t="s">
        <v>22</v>
      </c>
      <c r="F13" s="17" t="s">
        <v>836</v>
      </c>
      <c r="G13" s="23" t="s">
        <v>1474</v>
      </c>
      <c r="H13" s="17" t="s">
        <v>1477</v>
      </c>
      <c r="I13" s="59"/>
      <c r="J13" s="60"/>
      <c r="K13" s="60"/>
      <c r="L13" s="60"/>
      <c r="M13" s="61"/>
      <c r="N13" s="17"/>
      <c r="O13" s="17"/>
    </row>
    <row r="14" spans="1:15" ht="304.5">
      <c r="A14" s="17" t="s">
        <v>690</v>
      </c>
      <c r="B14" s="12" t="s">
        <v>649</v>
      </c>
      <c r="C14" s="12" t="s">
        <v>650</v>
      </c>
      <c r="D14" s="12">
        <v>0</v>
      </c>
      <c r="E14" s="13" t="s">
        <v>22</v>
      </c>
      <c r="F14" s="17" t="s">
        <v>705</v>
      </c>
      <c r="G14" s="23" t="s">
        <v>691</v>
      </c>
      <c r="H14" s="17" t="s">
        <v>861</v>
      </c>
      <c r="I14" s="17" t="s">
        <v>1633</v>
      </c>
      <c r="J14" s="17" t="s">
        <v>693</v>
      </c>
      <c r="K14" s="17" t="s">
        <v>692</v>
      </c>
      <c r="L14" s="41">
        <v>0</v>
      </c>
      <c r="M14" s="42" t="s">
        <v>22</v>
      </c>
      <c r="N14" s="12" t="s">
        <v>595</v>
      </c>
      <c r="O14" s="12" t="s">
        <v>1632</v>
      </c>
    </row>
    <row r="15" spans="1:15" ht="205">
      <c r="A15" s="17" t="s">
        <v>1601</v>
      </c>
      <c r="B15" s="12" t="s">
        <v>823</v>
      </c>
      <c r="C15" s="12" t="s">
        <v>664</v>
      </c>
      <c r="D15" s="12">
        <v>0</v>
      </c>
      <c r="E15" s="12" t="s">
        <v>22</v>
      </c>
      <c r="F15" s="12" t="s">
        <v>680</v>
      </c>
      <c r="G15" s="12" t="s">
        <v>862</v>
      </c>
      <c r="H15" s="17"/>
      <c r="I15" s="17"/>
      <c r="J15" s="17"/>
      <c r="K15" s="17"/>
      <c r="L15" s="17"/>
      <c r="M15" s="17"/>
      <c r="N15" s="17"/>
      <c r="O15" s="17"/>
    </row>
    <row r="16" spans="1:15" ht="58">
      <c r="A16" s="17" t="s">
        <v>1626</v>
      </c>
      <c r="B16" s="41" t="s">
        <v>1614</v>
      </c>
      <c r="C16" s="41" t="s">
        <v>692</v>
      </c>
      <c r="D16" s="41">
        <v>0</v>
      </c>
      <c r="E16" s="42" t="s">
        <v>22</v>
      </c>
      <c r="F16" s="12" t="s">
        <v>1102</v>
      </c>
      <c r="G16" s="12" t="s">
        <v>1624</v>
      </c>
      <c r="H16" s="17"/>
      <c r="I16" s="17"/>
      <c r="J16" s="17"/>
      <c r="K16" s="17"/>
      <c r="L16" s="17"/>
      <c r="M16" s="17"/>
      <c r="N16" s="17"/>
      <c r="O16" s="17"/>
    </row>
    <row r="17" spans="1:15" ht="348">
      <c r="A17" s="17" t="s">
        <v>1627</v>
      </c>
      <c r="B17" s="41" t="s">
        <v>1614</v>
      </c>
      <c r="C17" s="41" t="s">
        <v>692</v>
      </c>
      <c r="D17" s="41">
        <v>0</v>
      </c>
      <c r="E17" s="42" t="s">
        <v>22</v>
      </c>
      <c r="F17" s="12" t="s">
        <v>1625</v>
      </c>
      <c r="G17" s="12" t="s">
        <v>1624</v>
      </c>
      <c r="H17" s="17"/>
      <c r="I17" s="17"/>
      <c r="J17" s="17"/>
      <c r="K17" s="17"/>
      <c r="L17" s="17"/>
      <c r="M17" s="17"/>
      <c r="N17" s="17"/>
      <c r="O17" s="17"/>
    </row>
    <row r="18" spans="1:15" ht="58">
      <c r="A18" s="17" t="s">
        <v>1647</v>
      </c>
      <c r="B18" s="41" t="s">
        <v>1614</v>
      </c>
      <c r="C18" s="41" t="s">
        <v>692</v>
      </c>
      <c r="D18" s="41">
        <v>0</v>
      </c>
      <c r="E18" s="42" t="s">
        <v>22</v>
      </c>
      <c r="F18" s="12" t="s">
        <v>759</v>
      </c>
      <c r="G18" s="12" t="s">
        <v>1646</v>
      </c>
      <c r="H18" s="17"/>
      <c r="I18" s="17"/>
      <c r="J18" s="17"/>
      <c r="K18" s="17"/>
      <c r="L18" s="17"/>
      <c r="M18" s="17"/>
      <c r="N18" s="17"/>
      <c r="O18" s="17"/>
    </row>
    <row r="19" spans="1:15" ht="72.5">
      <c r="A19" s="17" t="s">
        <v>706</v>
      </c>
      <c r="B19" s="12" t="s">
        <v>649</v>
      </c>
      <c r="C19" s="12" t="s">
        <v>650</v>
      </c>
      <c r="D19" s="12">
        <v>0</v>
      </c>
      <c r="E19" s="13" t="s">
        <v>22</v>
      </c>
      <c r="F19" s="17" t="s">
        <v>708</v>
      </c>
      <c r="G19" s="23" t="s">
        <v>709</v>
      </c>
      <c r="H19" s="17"/>
      <c r="I19" s="17"/>
      <c r="J19" s="12" t="s">
        <v>823</v>
      </c>
      <c r="K19" s="17" t="s">
        <v>707</v>
      </c>
      <c r="L19" s="17"/>
      <c r="M19" s="17"/>
      <c r="N19" s="17"/>
      <c r="O19" s="17"/>
    </row>
    <row r="20" spans="1:15" ht="87">
      <c r="A20" s="17" t="s">
        <v>1645</v>
      </c>
      <c r="B20" s="41" t="s">
        <v>1614</v>
      </c>
      <c r="C20" s="41" t="s">
        <v>692</v>
      </c>
      <c r="D20" s="41">
        <v>0</v>
      </c>
      <c r="E20" s="42" t="s">
        <v>22</v>
      </c>
      <c r="F20" s="12" t="s">
        <v>559</v>
      </c>
      <c r="G20" s="12" t="s">
        <v>1640</v>
      </c>
      <c r="H20" s="17"/>
      <c r="I20" s="17"/>
      <c r="J20" s="27"/>
      <c r="K20" s="17"/>
      <c r="L20" s="17"/>
      <c r="M20" s="17"/>
      <c r="N20" s="17"/>
      <c r="O20" s="17"/>
    </row>
    <row r="21" spans="1:15" ht="409.5">
      <c r="A21" s="17" t="s">
        <v>1638</v>
      </c>
      <c r="B21" s="41" t="s">
        <v>1614</v>
      </c>
      <c r="C21" s="41" t="s">
        <v>692</v>
      </c>
      <c r="D21" s="41">
        <v>0</v>
      </c>
      <c r="E21" s="42" t="s">
        <v>22</v>
      </c>
      <c r="F21" s="12" t="s">
        <v>554</v>
      </c>
      <c r="G21" s="12" t="s">
        <v>1636</v>
      </c>
      <c r="H21" s="17"/>
      <c r="I21" s="17"/>
      <c r="J21" s="17"/>
      <c r="K21" s="17"/>
      <c r="L21" s="17"/>
      <c r="M21" s="17"/>
      <c r="N21" s="17"/>
      <c r="O21" s="17"/>
    </row>
    <row r="22" spans="1:15" ht="246.5">
      <c r="A22" s="17" t="s">
        <v>1637</v>
      </c>
      <c r="B22" s="41" t="s">
        <v>1614</v>
      </c>
      <c r="C22" s="41" t="s">
        <v>692</v>
      </c>
      <c r="D22" s="41">
        <v>0</v>
      </c>
      <c r="E22" s="42" t="s">
        <v>22</v>
      </c>
      <c r="F22" s="12" t="s">
        <v>554</v>
      </c>
      <c r="G22" s="12" t="s">
        <v>1635</v>
      </c>
      <c r="H22" s="17"/>
      <c r="I22" s="17"/>
      <c r="J22" s="17"/>
      <c r="K22" s="17"/>
      <c r="L22" s="17"/>
      <c r="M22" s="17"/>
      <c r="N22" s="17"/>
      <c r="O22" s="17"/>
    </row>
    <row r="23" spans="1:15" ht="192.5">
      <c r="A23" s="17" t="s">
        <v>831</v>
      </c>
      <c r="B23" s="12" t="s">
        <v>649</v>
      </c>
      <c r="C23" s="12" t="s">
        <v>650</v>
      </c>
      <c r="D23" s="12">
        <v>0</v>
      </c>
      <c r="E23" s="13" t="s">
        <v>22</v>
      </c>
      <c r="F23" s="17" t="s">
        <v>619</v>
      </c>
      <c r="G23" s="23" t="s">
        <v>596</v>
      </c>
      <c r="H23" s="17"/>
      <c r="I23" s="17" t="s">
        <v>1961</v>
      </c>
      <c r="J23" s="12" t="s">
        <v>823</v>
      </c>
      <c r="K23" s="17" t="s">
        <v>664</v>
      </c>
      <c r="L23" s="12">
        <v>0</v>
      </c>
      <c r="M23" s="12" t="s">
        <v>22</v>
      </c>
      <c r="N23" s="12" t="s">
        <v>828</v>
      </c>
      <c r="O23" s="12" t="s">
        <v>830</v>
      </c>
    </row>
    <row r="24" spans="1:15" ht="116">
      <c r="A24" s="17" t="s">
        <v>961</v>
      </c>
      <c r="B24" s="12" t="s">
        <v>823</v>
      </c>
      <c r="C24" s="12" t="s">
        <v>664</v>
      </c>
      <c r="D24" s="12">
        <v>0</v>
      </c>
      <c r="E24" s="12" t="s">
        <v>22</v>
      </c>
      <c r="F24" s="12" t="s">
        <v>963</v>
      </c>
      <c r="G24" s="12" t="s">
        <v>962</v>
      </c>
      <c r="H24" s="17"/>
      <c r="I24" s="17"/>
      <c r="J24" s="17" t="s">
        <v>959</v>
      </c>
      <c r="K24" s="17" t="s">
        <v>960</v>
      </c>
      <c r="L24" s="17"/>
      <c r="M24" s="17"/>
      <c r="N24" s="17"/>
      <c r="O24" s="17"/>
    </row>
    <row r="25" spans="1:15" ht="116">
      <c r="A25" s="17" t="s">
        <v>774</v>
      </c>
      <c r="B25" s="12" t="s">
        <v>649</v>
      </c>
      <c r="C25" s="12" t="s">
        <v>650</v>
      </c>
      <c r="D25" s="12">
        <v>0</v>
      </c>
      <c r="E25" s="13" t="s">
        <v>22</v>
      </c>
      <c r="F25" s="17" t="s">
        <v>619</v>
      </c>
      <c r="G25" s="23" t="s">
        <v>775</v>
      </c>
      <c r="H25" s="17"/>
      <c r="I25" s="17"/>
      <c r="J25" s="17"/>
      <c r="K25" s="17"/>
      <c r="L25" s="17"/>
      <c r="M25" s="17"/>
      <c r="N25" s="17"/>
      <c r="O25" s="17"/>
    </row>
    <row r="26" spans="1:15" ht="58">
      <c r="A26" s="17" t="s">
        <v>832</v>
      </c>
      <c r="B26" s="12" t="s">
        <v>823</v>
      </c>
      <c r="C26" s="17" t="s">
        <v>664</v>
      </c>
      <c r="D26" s="12">
        <v>0</v>
      </c>
      <c r="E26" s="12" t="s">
        <v>22</v>
      </c>
      <c r="F26" s="12" t="s">
        <v>828</v>
      </c>
      <c r="G26" s="12" t="s">
        <v>830</v>
      </c>
      <c r="H26" s="17"/>
      <c r="I26" s="17"/>
      <c r="J26" s="17"/>
      <c r="K26" s="17"/>
      <c r="L26" s="17"/>
      <c r="M26" s="17"/>
      <c r="N26" s="17"/>
      <c r="O26" s="17"/>
    </row>
    <row r="27" spans="1:15" ht="159.5">
      <c r="A27" s="17" t="s">
        <v>919</v>
      </c>
      <c r="B27" s="12" t="s">
        <v>823</v>
      </c>
      <c r="C27" s="17" t="s">
        <v>664</v>
      </c>
      <c r="D27" s="12">
        <v>0</v>
      </c>
      <c r="E27" s="12" t="s">
        <v>22</v>
      </c>
      <c r="F27" s="12" t="s">
        <v>710</v>
      </c>
      <c r="G27" s="12" t="s">
        <v>921</v>
      </c>
      <c r="H27" s="17"/>
      <c r="I27" s="17"/>
      <c r="J27" s="17"/>
      <c r="K27" s="17"/>
      <c r="L27" s="17"/>
      <c r="M27" s="17"/>
      <c r="N27" s="17"/>
      <c r="O27" s="17"/>
    </row>
    <row r="28" spans="1:15" ht="43.5">
      <c r="A28" s="17" t="s">
        <v>866</v>
      </c>
      <c r="B28" s="12" t="s">
        <v>823</v>
      </c>
      <c r="C28" s="17" t="s">
        <v>664</v>
      </c>
      <c r="D28" s="12">
        <v>0</v>
      </c>
      <c r="E28" s="12" t="s">
        <v>22</v>
      </c>
      <c r="F28" s="12" t="s">
        <v>680</v>
      </c>
      <c r="G28" s="12" t="s">
        <v>868</v>
      </c>
      <c r="H28" s="17"/>
      <c r="I28" s="17"/>
      <c r="J28" s="17"/>
      <c r="K28" s="17"/>
      <c r="L28" s="17"/>
      <c r="M28" s="17"/>
      <c r="N28" s="17"/>
      <c r="O28" s="17"/>
    </row>
  </sheetData>
  <hyperlinks>
    <hyperlink ref="E2" r:id="rId1" tooltip="GCC-CC7-PF-00000-OP-TSP-5003_00_1_Operating_and_Maintenance_Philosophy.pdf"/>
    <hyperlink ref="E3" r:id="rId2" tooltip="GCC-CC7-PF-00000-PC-TSP-5004_00_1_Process_Design_Criteria.pdf"/>
    <hyperlink ref="E4" r:id="rId3" tooltip="GCC-CC7-PF-00000-PC-TSP-5004_00_1_Process_Design_Criteria.pdf"/>
    <hyperlink ref="E5" r:id="rId4" tooltip="GCC-CC7-PF-00000-ME-TSP-5006_00_1_Mechanical_Equipment_Design_Criteria.pdf"/>
    <hyperlink ref="E8" r:id="rId5" tooltip="GCC-CC7-PF-00000-ME-TSP-5006_00_1_Mechanical_Equipment_Design_Criteria.pdf"/>
    <hyperlink ref="E6" r:id="rId6" tooltip="GCC-CC7-PF-00000-ME-TSP-5006_00_1_Mechanical_Equipment_Design_Criteria.pdf"/>
    <hyperlink ref="E10" r:id="rId7" tooltip="GCC-CC7-PF-00000-ME-TSP-5006_00_1_Mechanical_Equipment_Design_Criteria.pdf"/>
    <hyperlink ref="E11" r:id="rId8" tooltip="GCC-CC7-PF-00000-ME-TSP-5006_00_1_Mechanical_Equipment_Design_Criteria.pdf"/>
    <hyperlink ref="E9" r:id="rId9" tooltip="GCC-CC7-PF-00000-ME-TSP-5006_00_1_Mechanical_Equipment_Design_Criteria.pdf"/>
    <hyperlink ref="E7" r:id="rId10" tooltip="GCC-CC7-PF-00000-PC-TSP-5004_00_1_Process_Design_Criteria.pdf"/>
    <hyperlink ref="E12" r:id="rId11" tooltip="GCC-CC7-PF-00000-ME-TSP-5006_00_1_Mechanical_Equipment_Design_Criteria.pdf"/>
    <hyperlink ref="E13" r:id="rId12" tooltip="GCC-CC7-PF-00000-PA-TSP-5007_00_1_EQUIPMENT_AND_PIPING_PAINTING_SPECIFICATION.pdf"/>
    <hyperlink ref="E14" r:id="rId13" tooltip="GCC-CC7-PF-00000-PE-TSP-7001_00_1_Requirements_for_Package_units.pdf"/>
    <hyperlink ref="E15" r:id="rId14" tooltip="GCC-CC7-PF-00000-ME-TSP-5006_00_1_Mechanical_Equipment_Design_Criteria.pdf"/>
    <hyperlink ref="M14" r:id="rId15" tooltip="GCC-CC7-PF-00000-SQ-TSP-5012_00_1_Design_Specifications_for_Vessels_and_Apparatuses.pdf"/>
    <hyperlink ref="E16" r:id="rId16" tooltip="GCC-CC7-PF-00000-SQ-TSP-5012_00_1_Design_Specifications_for_Vessels_and_Apparatuses.pdf"/>
    <hyperlink ref="E19" r:id="rId17" tooltip="GCC-CC7-PF-00000-PE-TSP-7001_00_1_Requirements_for_Package_units.pdf"/>
    <hyperlink ref="E17" r:id="rId18" tooltip="GCC-CC7-PF-00000-SQ-TSP-5012_00_1_Design_Specifications_for_Vessels_and_Apparatuses.pdf"/>
    <hyperlink ref="E18" r:id="rId19" tooltip="GCC-CC7-PF-00000-SQ-TSP-5012_00_1_Design_Specifications_for_Vessels_and_Apparatuses.pdf"/>
    <hyperlink ref="E20" r:id="rId20" tooltip="GCC-CC7-PF-00000-SQ-TSP-5012_00_1_Design_Specifications_for_Vessels_and_Apparatuses.pdf"/>
    <hyperlink ref="E22" r:id="rId21" tooltip="GCC-CC7-PF-00000-SQ-TSP-5012_00_1_Design_Specifications_for_Vessels_and_Apparatuses.pdf"/>
    <hyperlink ref="E21" r:id="rId22" tooltip="GCC-CC7-PF-00000-SQ-TSP-5012_00_1_Design_Specifications_for_Vessels_and_Apparatuses.pdf"/>
    <hyperlink ref="E23" r:id="rId23" tooltip="GCC-CC7-PF-00000-PE-TSP-7001_00_1_Requirements_for_Package_units.pdf"/>
    <hyperlink ref="E25" r:id="rId24" tooltip="GCC-CC7-PF-00000-PE-TSP-7001_00_1_Requirements_for_Package_units.pdf"/>
    <hyperlink ref="M23" r:id="rId25" tooltip="GCC-CC7-PF-00000-ME-TSP-5006_00_1_Mechanical_Equipment_Design_Criteria.pdf"/>
    <hyperlink ref="E24" r:id="rId26" tooltip="GCC-CC7-PF-00000-ME-TSP-5006_00_1_Mechanical_Equipment_Design_Criteria.pdf"/>
    <hyperlink ref="E26" r:id="rId27" tooltip="GCC-CC7-PF-00000-ME-TSP-5006_00_1_Mechanical_Equipment_Design_Criteria.pdf"/>
    <hyperlink ref="E28" r:id="rId28" tooltip="GCC-CC7-PF-00000-ME-TSP-5006_00_1_Mechanical_Equipment_Design_Criteria.pdf"/>
    <hyperlink ref="E27" r:id="rId29" tooltip="GCC-CC7-PF-00000-ME-TSP-5006_00_1_Mechanical_Equipment_Design_Criteria.pd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zoomScale="55" zoomScaleNormal="55" workbookViewId="0">
      <selection activeCell="K35" sqref="K35"/>
    </sheetView>
  </sheetViews>
  <sheetFormatPr baseColWidth="10" defaultRowHeight="14.5"/>
  <cols>
    <col min="2" max="2" width="89.54296875" customWidth="1"/>
    <col min="10" max="10" width="24.26953125" customWidth="1"/>
    <col min="11" max="11" width="41.6328125" customWidth="1"/>
  </cols>
  <sheetData>
    <row r="1" spans="1:11">
      <c r="A1" t="s">
        <v>3166</v>
      </c>
      <c r="B1" t="s">
        <v>3158</v>
      </c>
      <c r="C1" t="s">
        <v>3159</v>
      </c>
      <c r="D1" t="s">
        <v>3160</v>
      </c>
      <c r="E1" t="s">
        <v>5</v>
      </c>
      <c r="F1" t="s">
        <v>3161</v>
      </c>
      <c r="G1" t="s">
        <v>3162</v>
      </c>
      <c r="H1" t="s">
        <v>3163</v>
      </c>
      <c r="I1" t="s">
        <v>3164</v>
      </c>
      <c r="J1" t="s">
        <v>3165</v>
      </c>
      <c r="K1" t="s">
        <v>3168</v>
      </c>
    </row>
    <row r="2" spans="1:11" ht="304.5">
      <c r="A2">
        <v>1</v>
      </c>
      <c r="B2" s="213" t="s">
        <v>3167</v>
      </c>
      <c r="C2" s="209" t="s">
        <v>2784</v>
      </c>
      <c r="D2" s="239" t="s">
        <v>1598</v>
      </c>
      <c r="E2" s="217"/>
      <c r="F2" s="216" t="s">
        <v>22</v>
      </c>
      <c r="G2" s="215" t="s">
        <v>2062</v>
      </c>
      <c r="H2" s="215" t="s">
        <v>2787</v>
      </c>
      <c r="I2" s="2"/>
      <c r="J2" s="17" t="s">
        <v>3015</v>
      </c>
      <c r="K2" s="251" t="s">
        <v>3169</v>
      </c>
    </row>
    <row r="3" spans="1:11" ht="188.5">
      <c r="B3" s="213" t="s">
        <v>3017</v>
      </c>
      <c r="C3" s="209" t="s">
        <v>2784</v>
      </c>
      <c r="D3" s="239" t="s">
        <v>1598</v>
      </c>
      <c r="E3" s="217"/>
      <c r="F3" s="216" t="s">
        <v>22</v>
      </c>
      <c r="G3" s="215" t="s">
        <v>2792</v>
      </c>
      <c r="H3" s="215" t="s">
        <v>2793</v>
      </c>
      <c r="I3" s="2"/>
      <c r="J3" s="17" t="s">
        <v>3029</v>
      </c>
      <c r="K3" s="251" t="s">
        <v>3169</v>
      </c>
    </row>
    <row r="4" spans="1:11" ht="348">
      <c r="B4" s="213" t="s">
        <v>3170</v>
      </c>
      <c r="C4" s="209" t="s">
        <v>2784</v>
      </c>
      <c r="D4" s="239" t="s">
        <v>1598</v>
      </c>
      <c r="E4" s="217"/>
      <c r="F4" s="216" t="s">
        <v>22</v>
      </c>
      <c r="G4" s="215" t="s">
        <v>2796</v>
      </c>
      <c r="H4" s="215" t="s">
        <v>2793</v>
      </c>
      <c r="I4" s="2"/>
      <c r="J4" s="17" t="s">
        <v>3018</v>
      </c>
      <c r="K4" s="251" t="s">
        <v>3169</v>
      </c>
    </row>
    <row r="5" spans="1:11" ht="145">
      <c r="B5" s="213" t="s">
        <v>3101</v>
      </c>
      <c r="C5" s="209" t="s">
        <v>2784</v>
      </c>
      <c r="D5" s="239" t="s">
        <v>1598</v>
      </c>
      <c r="E5" s="217"/>
      <c r="F5" s="216" t="s">
        <v>22</v>
      </c>
      <c r="G5" s="215" t="s">
        <v>828</v>
      </c>
      <c r="H5" s="215" t="s">
        <v>2794</v>
      </c>
      <c r="I5" s="2"/>
      <c r="J5" s="2" t="s">
        <v>3102</v>
      </c>
      <c r="K5" s="251" t="s">
        <v>3169</v>
      </c>
    </row>
    <row r="6" spans="1:11" ht="52">
      <c r="B6" s="213" t="s">
        <v>2645</v>
      </c>
      <c r="C6" s="209" t="s">
        <v>2321</v>
      </c>
      <c r="D6" s="218" t="s">
        <v>2322</v>
      </c>
      <c r="E6" s="213" t="s">
        <v>2323</v>
      </c>
      <c r="F6" s="216" t="s">
        <v>22</v>
      </c>
      <c r="G6" s="215" t="s">
        <v>635</v>
      </c>
      <c r="H6" s="219" t="s">
        <v>2631</v>
      </c>
      <c r="I6" s="2"/>
      <c r="J6" s="17" t="s">
        <v>3024</v>
      </c>
      <c r="K6" s="253" t="s">
        <v>3173</v>
      </c>
    </row>
    <row r="7" spans="1:11" ht="232">
      <c r="B7" s="213" t="s">
        <v>3027</v>
      </c>
      <c r="C7" s="209" t="s">
        <v>2784</v>
      </c>
      <c r="D7" s="239" t="s">
        <v>1598</v>
      </c>
      <c r="E7" s="217"/>
      <c r="F7" s="216" t="s">
        <v>22</v>
      </c>
      <c r="G7" s="215" t="s">
        <v>2811</v>
      </c>
      <c r="H7" s="215" t="s">
        <v>2812</v>
      </c>
      <c r="I7" s="2"/>
      <c r="J7" s="17" t="s">
        <v>3028</v>
      </c>
      <c r="K7" s="251" t="s">
        <v>3169</v>
      </c>
    </row>
    <row r="8" spans="1:11" ht="383.5">
      <c r="B8" s="213" t="s">
        <v>3030</v>
      </c>
      <c r="C8" s="209" t="s">
        <v>2784</v>
      </c>
      <c r="D8" s="239" t="s">
        <v>1598</v>
      </c>
      <c r="E8" s="217"/>
      <c r="F8" s="216" t="s">
        <v>22</v>
      </c>
      <c r="G8" s="215" t="s">
        <v>2873</v>
      </c>
      <c r="H8" s="215" t="s">
        <v>2872</v>
      </c>
      <c r="I8" s="2"/>
      <c r="J8" s="17" t="s">
        <v>3031</v>
      </c>
      <c r="K8" s="251" t="s">
        <v>3169</v>
      </c>
    </row>
    <row r="9" spans="1:11" ht="58">
      <c r="B9" s="213" t="s">
        <v>3104</v>
      </c>
      <c r="C9" s="209" t="s">
        <v>2784</v>
      </c>
      <c r="D9" s="239" t="s">
        <v>1598</v>
      </c>
      <c r="E9" s="217"/>
      <c r="F9" s="216" t="s">
        <v>22</v>
      </c>
      <c r="G9" s="215" t="s">
        <v>2290</v>
      </c>
      <c r="H9" s="215" t="s">
        <v>2944</v>
      </c>
      <c r="I9" s="2"/>
      <c r="J9" s="17" t="s">
        <v>3032</v>
      </c>
      <c r="K9" s="251" t="s">
        <v>3169</v>
      </c>
    </row>
    <row r="10" spans="1:11" ht="52">
      <c r="B10" s="247" t="s">
        <v>2674</v>
      </c>
      <c r="C10" s="209" t="s">
        <v>2318</v>
      </c>
      <c r="D10" s="217" t="s">
        <v>2324</v>
      </c>
      <c r="E10" s="217" t="s">
        <v>2325</v>
      </c>
      <c r="F10" s="216" t="s">
        <v>22</v>
      </c>
      <c r="G10" s="215" t="s">
        <v>2148</v>
      </c>
      <c r="H10" s="215" t="s">
        <v>2675</v>
      </c>
      <c r="I10" s="2"/>
      <c r="J10" s="2" t="s">
        <v>3107</v>
      </c>
      <c r="K10" s="252" t="s">
        <v>3172</v>
      </c>
    </row>
    <row r="11" spans="1:11" ht="52">
      <c r="B11" s="213" t="s">
        <v>2505</v>
      </c>
      <c r="C11" s="209" t="s">
        <v>2321</v>
      </c>
      <c r="D11" s="218" t="s">
        <v>2322</v>
      </c>
      <c r="E11" s="213" t="s">
        <v>2323</v>
      </c>
      <c r="F11" s="216" t="s">
        <v>22</v>
      </c>
      <c r="G11" s="215" t="s">
        <v>1379</v>
      </c>
      <c r="H11" s="219" t="s">
        <v>2504</v>
      </c>
      <c r="I11" s="2"/>
      <c r="J11" s="2" t="s">
        <v>3108</v>
      </c>
      <c r="K11" s="252" t="s">
        <v>3172</v>
      </c>
    </row>
    <row r="12" spans="1:11" ht="52">
      <c r="B12" s="213" t="s">
        <v>2535</v>
      </c>
      <c r="C12" s="209" t="s">
        <v>2321</v>
      </c>
      <c r="D12" s="218" t="s">
        <v>2322</v>
      </c>
      <c r="E12" s="213" t="s">
        <v>2323</v>
      </c>
      <c r="F12" s="216" t="s">
        <v>22</v>
      </c>
      <c r="G12" s="215" t="s">
        <v>942</v>
      </c>
      <c r="H12" s="219" t="s">
        <v>2536</v>
      </c>
      <c r="I12" s="2"/>
      <c r="J12" s="17" t="s">
        <v>3037</v>
      </c>
      <c r="K12" s="251" t="s">
        <v>3169</v>
      </c>
    </row>
    <row r="13" spans="1:11" ht="52">
      <c r="B13" s="213" t="s">
        <v>2572</v>
      </c>
      <c r="C13" s="209" t="s">
        <v>2321</v>
      </c>
      <c r="D13" s="218" t="s">
        <v>2322</v>
      </c>
      <c r="E13" s="213" t="s">
        <v>2323</v>
      </c>
      <c r="F13" s="216" t="s">
        <v>22</v>
      </c>
      <c r="G13" s="215" t="s">
        <v>2573</v>
      </c>
      <c r="H13" s="219" t="s">
        <v>2574</v>
      </c>
      <c r="I13" s="2"/>
      <c r="J13" s="2" t="s">
        <v>3171</v>
      </c>
      <c r="K13" s="251" t="s">
        <v>3169</v>
      </c>
    </row>
    <row r="14" spans="1:11" ht="176">
      <c r="B14" s="213" t="s">
        <v>3042</v>
      </c>
      <c r="C14" s="209" t="s">
        <v>2784</v>
      </c>
      <c r="D14" s="239" t="s">
        <v>1598</v>
      </c>
      <c r="E14" s="217"/>
      <c r="F14" s="216" t="s">
        <v>22</v>
      </c>
      <c r="G14" s="215" t="s">
        <v>2797</v>
      </c>
      <c r="H14" s="215" t="s">
        <v>2798</v>
      </c>
      <c r="I14" s="2"/>
      <c r="J14" s="17" t="s">
        <v>3043</v>
      </c>
      <c r="K14" s="251" t="s">
        <v>3169</v>
      </c>
    </row>
    <row r="15" spans="1:11" ht="275.5">
      <c r="B15" s="213" t="s">
        <v>2901</v>
      </c>
      <c r="C15" s="209" t="s">
        <v>2784</v>
      </c>
      <c r="D15" s="239" t="s">
        <v>1598</v>
      </c>
      <c r="E15" s="217"/>
      <c r="F15" s="216" t="s">
        <v>22</v>
      </c>
      <c r="G15" s="215" t="s">
        <v>2873</v>
      </c>
      <c r="H15" s="215" t="s">
        <v>2872</v>
      </c>
      <c r="I15" s="2"/>
      <c r="J15" s="2" t="s">
        <v>3111</v>
      </c>
      <c r="K15" s="252" t="s">
        <v>3169</v>
      </c>
    </row>
    <row r="16" spans="1:11" ht="261">
      <c r="B16" s="213" t="s">
        <v>2905</v>
      </c>
      <c r="C16" s="209" t="s">
        <v>2784</v>
      </c>
      <c r="D16" s="239" t="s">
        <v>1598</v>
      </c>
      <c r="E16" s="217"/>
      <c r="F16" s="216" t="s">
        <v>22</v>
      </c>
      <c r="G16" s="215" t="s">
        <v>2902</v>
      </c>
      <c r="H16" s="215" t="s">
        <v>2903</v>
      </c>
      <c r="I16" s="2"/>
      <c r="J16" s="17" t="s">
        <v>3112</v>
      </c>
      <c r="K16" s="251" t="s">
        <v>3169</v>
      </c>
    </row>
    <row r="17" spans="2:11" ht="409.5">
      <c r="B17" s="213" t="s">
        <v>2957</v>
      </c>
      <c r="C17" s="209" t="s">
        <v>2784</v>
      </c>
      <c r="D17" s="239" t="s">
        <v>1598</v>
      </c>
      <c r="E17" s="217"/>
      <c r="F17" s="216" t="s">
        <v>22</v>
      </c>
      <c r="G17" s="215" t="s">
        <v>1100</v>
      </c>
      <c r="H17" s="215" t="s">
        <v>2955</v>
      </c>
      <c r="I17" s="2"/>
      <c r="J17" s="17" t="s">
        <v>3113</v>
      </c>
      <c r="K17" s="251" t="s">
        <v>3169</v>
      </c>
    </row>
    <row r="18" spans="2:11" ht="130.5">
      <c r="B18" s="213" t="s">
        <v>3052</v>
      </c>
      <c r="C18" s="209" t="s">
        <v>2784</v>
      </c>
      <c r="D18" s="239" t="s">
        <v>1598</v>
      </c>
      <c r="E18" s="217"/>
      <c r="F18" s="216" t="s">
        <v>22</v>
      </c>
      <c r="G18" s="215" t="s">
        <v>1102</v>
      </c>
      <c r="H18" s="215" t="s">
        <v>2959</v>
      </c>
      <c r="I18" s="2"/>
      <c r="J18" s="17" t="s">
        <v>3053</v>
      </c>
      <c r="K18" s="251" t="s">
        <v>3169</v>
      </c>
    </row>
    <row r="19" spans="2:11" ht="117">
      <c r="B19" s="213" t="s">
        <v>2539</v>
      </c>
      <c r="C19" s="209" t="s">
        <v>2321</v>
      </c>
      <c r="D19" s="218" t="s">
        <v>2322</v>
      </c>
      <c r="E19" s="213" t="s">
        <v>2323</v>
      </c>
      <c r="F19" s="216" t="s">
        <v>22</v>
      </c>
      <c r="G19" s="215" t="s">
        <v>942</v>
      </c>
      <c r="H19" s="219" t="s">
        <v>2536</v>
      </c>
      <c r="I19" s="2"/>
      <c r="J19" s="17" t="s">
        <v>3056</v>
      </c>
      <c r="K19" s="78" t="s">
        <v>3176</v>
      </c>
    </row>
    <row r="20" spans="2:11" ht="72.5">
      <c r="B20" s="213" t="s">
        <v>2915</v>
      </c>
      <c r="C20" s="209" t="s">
        <v>2784</v>
      </c>
      <c r="D20" s="239" t="s">
        <v>1598</v>
      </c>
      <c r="E20" s="217"/>
      <c r="F20" s="216" t="s">
        <v>22</v>
      </c>
      <c r="G20" s="215" t="s">
        <v>2906</v>
      </c>
      <c r="H20" s="215" t="s">
        <v>2914</v>
      </c>
      <c r="I20" s="2"/>
      <c r="J20" s="17" t="s">
        <v>3057</v>
      </c>
      <c r="K20" s="252" t="s">
        <v>3169</v>
      </c>
    </row>
    <row r="21" spans="2:11" ht="52">
      <c r="B21" s="213" t="s">
        <v>3058</v>
      </c>
      <c r="C21" s="209" t="s">
        <v>2318</v>
      </c>
      <c r="D21" s="217" t="s">
        <v>2324</v>
      </c>
      <c r="E21" s="217" t="s">
        <v>2325</v>
      </c>
      <c r="F21" s="216" t="s">
        <v>22</v>
      </c>
      <c r="G21" s="215" t="s">
        <v>2688</v>
      </c>
      <c r="H21" s="215" t="s">
        <v>2686</v>
      </c>
      <c r="I21" s="2"/>
      <c r="J21" s="17" t="s">
        <v>3056</v>
      </c>
      <c r="K21" s="251" t="s">
        <v>3169</v>
      </c>
    </row>
    <row r="22" spans="2:11" ht="116">
      <c r="B22" s="213" t="s">
        <v>2689</v>
      </c>
      <c r="C22" s="209" t="s">
        <v>2318</v>
      </c>
      <c r="D22" s="217" t="s">
        <v>2324</v>
      </c>
      <c r="E22" s="217" t="s">
        <v>2325</v>
      </c>
      <c r="F22" s="216" t="s">
        <v>22</v>
      </c>
      <c r="G22" s="215" t="s">
        <v>2688</v>
      </c>
      <c r="H22" s="215" t="s">
        <v>2686</v>
      </c>
      <c r="I22" s="2" t="s">
        <v>2687</v>
      </c>
      <c r="J22" s="17" t="s">
        <v>3056</v>
      </c>
      <c r="K22" s="252" t="s">
        <v>3169</v>
      </c>
    </row>
    <row r="23" spans="2:11" ht="116">
      <c r="B23" s="213" t="s">
        <v>3059</v>
      </c>
      <c r="C23" s="209" t="s">
        <v>2318</v>
      </c>
      <c r="D23" s="217" t="s">
        <v>2324</v>
      </c>
      <c r="E23" s="217" t="s">
        <v>2325</v>
      </c>
      <c r="F23" s="216" t="s">
        <v>22</v>
      </c>
      <c r="G23" s="215" t="s">
        <v>2688</v>
      </c>
      <c r="H23" s="215" t="s">
        <v>2686</v>
      </c>
      <c r="I23" s="2"/>
      <c r="J23" s="17" t="s">
        <v>3056</v>
      </c>
      <c r="K23" s="252" t="s">
        <v>3169</v>
      </c>
    </row>
    <row r="24" spans="2:11" ht="52">
      <c r="B24" s="213" t="s">
        <v>2681</v>
      </c>
      <c r="C24" s="209" t="s">
        <v>2318</v>
      </c>
      <c r="D24" s="217" t="s">
        <v>2324</v>
      </c>
      <c r="E24" s="217" t="s">
        <v>2325</v>
      </c>
      <c r="F24" s="216" t="s">
        <v>22</v>
      </c>
      <c r="G24" s="215" t="s">
        <v>2682</v>
      </c>
      <c r="H24" s="215" t="s">
        <v>2683</v>
      </c>
      <c r="I24" s="2"/>
      <c r="J24" s="17" t="s">
        <v>894</v>
      </c>
      <c r="K24" s="252" t="s">
        <v>3172</v>
      </c>
    </row>
    <row r="25" spans="2:11" ht="52">
      <c r="B25" s="213" t="s">
        <v>2667</v>
      </c>
      <c r="C25" s="209" t="s">
        <v>2318</v>
      </c>
      <c r="D25" s="217" t="s">
        <v>2324</v>
      </c>
      <c r="E25" s="217" t="s">
        <v>2325</v>
      </c>
      <c r="F25" s="216" t="s">
        <v>22</v>
      </c>
      <c r="G25" s="215" t="s">
        <v>539</v>
      </c>
      <c r="H25" s="215" t="s">
        <v>2668</v>
      </c>
      <c r="I25" s="2"/>
      <c r="J25" s="2" t="s">
        <v>3115</v>
      </c>
      <c r="K25" s="252" t="s">
        <v>3172</v>
      </c>
    </row>
    <row r="26" spans="2:11" ht="52">
      <c r="B26" s="213" t="s">
        <v>2667</v>
      </c>
      <c r="C26" s="209" t="s">
        <v>2318</v>
      </c>
      <c r="D26" s="217" t="s">
        <v>2324</v>
      </c>
      <c r="E26" s="217" t="s">
        <v>2325</v>
      </c>
      <c r="F26" s="216" t="s">
        <v>22</v>
      </c>
      <c r="G26" s="215" t="s">
        <v>2685</v>
      </c>
      <c r="H26" s="215" t="s">
        <v>2686</v>
      </c>
      <c r="I26" s="2"/>
      <c r="J26" s="2" t="s">
        <v>3116</v>
      </c>
      <c r="K26" s="252" t="s">
        <v>3172</v>
      </c>
    </row>
    <row r="27" spans="2:11" ht="132.5">
      <c r="B27" s="213" t="s">
        <v>2599</v>
      </c>
      <c r="C27" s="209" t="s">
        <v>2321</v>
      </c>
      <c r="D27" s="218" t="s">
        <v>2322</v>
      </c>
      <c r="E27" s="213" t="s">
        <v>2323</v>
      </c>
      <c r="F27" s="216" t="s">
        <v>22</v>
      </c>
      <c r="G27" s="215" t="s">
        <v>2602</v>
      </c>
      <c r="H27" s="219" t="s">
        <v>2600</v>
      </c>
      <c r="I27" s="2"/>
      <c r="J27" s="17" t="s">
        <v>3061</v>
      </c>
      <c r="K27" s="251" t="s">
        <v>3169</v>
      </c>
    </row>
    <row r="28" spans="2:11" ht="159.5">
      <c r="B28" s="213" t="s">
        <v>3063</v>
      </c>
      <c r="C28" s="209" t="s">
        <v>2321</v>
      </c>
      <c r="D28" s="218" t="s">
        <v>2322</v>
      </c>
      <c r="E28" s="213" t="s">
        <v>2323</v>
      </c>
      <c r="F28" s="216" t="s">
        <v>22</v>
      </c>
      <c r="G28" s="215" t="s">
        <v>2601</v>
      </c>
      <c r="H28" s="219" t="s">
        <v>2600</v>
      </c>
      <c r="I28" s="2"/>
      <c r="J28" s="17" t="s">
        <v>3064</v>
      </c>
      <c r="K28" s="72" t="s">
        <v>3172</v>
      </c>
    </row>
    <row r="29" spans="2:11" ht="409.5">
      <c r="B29" s="2" t="s">
        <v>3065</v>
      </c>
      <c r="C29" s="209" t="s">
        <v>2784</v>
      </c>
      <c r="D29" s="239" t="s">
        <v>1598</v>
      </c>
      <c r="E29" s="217"/>
      <c r="F29" s="216" t="s">
        <v>22</v>
      </c>
      <c r="G29" s="215" t="s">
        <v>2870</v>
      </c>
      <c r="H29" s="215" t="s">
        <v>2871</v>
      </c>
      <c r="I29" s="2"/>
      <c r="J29" s="17" t="s">
        <v>3119</v>
      </c>
      <c r="K29" s="251" t="s">
        <v>3169</v>
      </c>
    </row>
    <row r="30" spans="2:11" ht="263">
      <c r="B30" s="213" t="s">
        <v>3084</v>
      </c>
      <c r="C30" s="2" t="s">
        <v>2740</v>
      </c>
      <c r="D30" s="2" t="s">
        <v>2739</v>
      </c>
      <c r="E30" s="2" t="s">
        <v>2323</v>
      </c>
      <c r="F30" s="236" t="s">
        <v>22</v>
      </c>
      <c r="G30" s="215" t="s">
        <v>2494</v>
      </c>
      <c r="H30" s="215" t="s">
        <v>2755</v>
      </c>
      <c r="I30" s="2"/>
      <c r="J30" s="17" t="s">
        <v>3085</v>
      </c>
      <c r="K30" s="252" t="s">
        <v>3169</v>
      </c>
    </row>
    <row r="31" spans="2:11" ht="336.5">
      <c r="B31" s="224" t="s">
        <v>3174</v>
      </c>
      <c r="C31" s="209" t="s">
        <v>2321</v>
      </c>
      <c r="D31" s="218" t="s">
        <v>2322</v>
      </c>
      <c r="E31" s="213" t="s">
        <v>2323</v>
      </c>
      <c r="F31" s="216" t="s">
        <v>22</v>
      </c>
      <c r="G31" s="215" t="s">
        <v>2590</v>
      </c>
      <c r="H31" s="219" t="s">
        <v>2591</v>
      </c>
      <c r="I31" s="2"/>
      <c r="J31" s="17" t="s">
        <v>3088</v>
      </c>
      <c r="K31" s="251" t="s">
        <v>3169</v>
      </c>
    </row>
    <row r="32" spans="2:11" ht="39">
      <c r="B32" s="213" t="s">
        <v>3126</v>
      </c>
      <c r="C32" s="209" t="s">
        <v>2784</v>
      </c>
      <c r="D32" s="239" t="s">
        <v>1598</v>
      </c>
      <c r="E32" s="217"/>
      <c r="F32" s="216" t="s">
        <v>22</v>
      </c>
      <c r="G32" s="215" t="s">
        <v>2920</v>
      </c>
      <c r="H32" s="215" t="s">
        <v>2921</v>
      </c>
      <c r="I32" s="2"/>
      <c r="J32" s="2" t="s">
        <v>3127</v>
      </c>
      <c r="K32" s="72" t="s">
        <v>3172</v>
      </c>
    </row>
    <row r="33" spans="2:11" ht="52">
      <c r="B33" s="227" t="s">
        <v>3128</v>
      </c>
      <c r="C33" s="209" t="s">
        <v>2321</v>
      </c>
      <c r="D33" s="218" t="s">
        <v>2322</v>
      </c>
      <c r="E33" s="213" t="s">
        <v>2323</v>
      </c>
      <c r="F33" s="216" t="s">
        <v>22</v>
      </c>
      <c r="G33" s="215" t="s">
        <v>2578</v>
      </c>
      <c r="H33" s="219" t="s">
        <v>2581</v>
      </c>
      <c r="I33" s="2"/>
      <c r="J33" s="2" t="s">
        <v>3129</v>
      </c>
      <c r="K33" s="251" t="s">
        <v>3169</v>
      </c>
    </row>
    <row r="34" spans="2:11" ht="58">
      <c r="B34" s="166" t="s">
        <v>667</v>
      </c>
      <c r="C34" s="209" t="s">
        <v>2321</v>
      </c>
      <c r="D34" s="218" t="s">
        <v>2322</v>
      </c>
      <c r="E34" s="213" t="s">
        <v>2323</v>
      </c>
      <c r="F34" s="216" t="s">
        <v>22</v>
      </c>
      <c r="G34" s="215" t="s">
        <v>771</v>
      </c>
      <c r="H34" s="219" t="s">
        <v>2562</v>
      </c>
      <c r="I34" s="2"/>
      <c r="J34" s="17" t="s">
        <v>3095</v>
      </c>
      <c r="K34" s="251" t="s">
        <v>3169</v>
      </c>
    </row>
    <row r="35" spans="2:11" ht="174">
      <c r="B35" s="213" t="s">
        <v>2610</v>
      </c>
      <c r="C35" s="209" t="s">
        <v>2321</v>
      </c>
      <c r="D35" s="218" t="s">
        <v>2322</v>
      </c>
      <c r="E35" s="213" t="s">
        <v>2323</v>
      </c>
      <c r="F35" s="216" t="s">
        <v>22</v>
      </c>
      <c r="G35" s="215" t="s">
        <v>2608</v>
      </c>
      <c r="H35" s="219" t="s">
        <v>2609</v>
      </c>
      <c r="I35" s="2"/>
      <c r="J35" s="17" t="s">
        <v>3097</v>
      </c>
      <c r="K35" s="72" t="s">
        <v>3172</v>
      </c>
    </row>
    <row r="36" spans="2:11" ht="147">
      <c r="B36" s="2" t="s">
        <v>3098</v>
      </c>
      <c r="C36" s="209" t="s">
        <v>2321</v>
      </c>
      <c r="D36" s="218" t="s">
        <v>2322</v>
      </c>
      <c r="E36" s="213" t="s">
        <v>2323</v>
      </c>
      <c r="F36" s="216" t="s">
        <v>22</v>
      </c>
      <c r="G36" s="215" t="s">
        <v>2621</v>
      </c>
      <c r="H36" s="219" t="s">
        <v>2622</v>
      </c>
      <c r="I36" s="2"/>
      <c r="J36" s="17" t="s">
        <v>3130</v>
      </c>
      <c r="K36" s="251" t="s">
        <v>3169</v>
      </c>
    </row>
    <row r="37" spans="2:11" ht="145">
      <c r="B37" s="213" t="s">
        <v>3175</v>
      </c>
      <c r="C37" s="209" t="s">
        <v>2784</v>
      </c>
      <c r="D37" s="239" t="s">
        <v>1598</v>
      </c>
      <c r="E37" s="217"/>
      <c r="F37" s="216" t="s">
        <v>22</v>
      </c>
      <c r="G37" s="215" t="s">
        <v>2846</v>
      </c>
      <c r="H37" s="215" t="s">
        <v>2853</v>
      </c>
      <c r="I37" s="2"/>
      <c r="J37" s="17" t="s">
        <v>1549</v>
      </c>
      <c r="K37" s="78" t="s">
        <v>3176</v>
      </c>
    </row>
    <row r="38" spans="2:11" ht="167.5">
      <c r="B38" s="213" t="s">
        <v>2618</v>
      </c>
      <c r="C38" s="209" t="s">
        <v>2321</v>
      </c>
      <c r="D38" s="218" t="s">
        <v>2322</v>
      </c>
      <c r="E38" s="213" t="s">
        <v>2323</v>
      </c>
      <c r="F38" s="216" t="s">
        <v>22</v>
      </c>
      <c r="G38" s="215" t="s">
        <v>2616</v>
      </c>
      <c r="H38" s="219" t="s">
        <v>2617</v>
      </c>
      <c r="I38" s="2"/>
      <c r="J38" s="17" t="s">
        <v>3132</v>
      </c>
      <c r="K38" s="78" t="s">
        <v>3177</v>
      </c>
    </row>
    <row r="39" spans="2:11" ht="116">
      <c r="B39" s="213" t="s">
        <v>3133</v>
      </c>
      <c r="C39" s="209" t="s">
        <v>2784</v>
      </c>
      <c r="D39" s="239" t="s">
        <v>1598</v>
      </c>
      <c r="E39" s="217"/>
      <c r="F39" s="216" t="s">
        <v>22</v>
      </c>
      <c r="G39" s="215" t="s">
        <v>2290</v>
      </c>
      <c r="H39" s="215" t="s">
        <v>2944</v>
      </c>
      <c r="I39" s="2"/>
      <c r="J39" s="244" t="s">
        <v>2946</v>
      </c>
      <c r="K39" s="251" t="s">
        <v>3169</v>
      </c>
    </row>
    <row r="40" spans="2:11" ht="304.5">
      <c r="B40" s="213" t="s">
        <v>2948</v>
      </c>
      <c r="C40" s="209" t="s">
        <v>2784</v>
      </c>
      <c r="D40" s="239" t="s">
        <v>1598</v>
      </c>
      <c r="E40" s="217"/>
      <c r="F40" s="216" t="s">
        <v>22</v>
      </c>
      <c r="G40" s="215" t="s">
        <v>2942</v>
      </c>
      <c r="H40" s="215" t="s">
        <v>2950</v>
      </c>
      <c r="I40" s="2"/>
      <c r="J40" s="244" t="s">
        <v>2947</v>
      </c>
      <c r="K40" s="251" t="s">
        <v>3169</v>
      </c>
    </row>
    <row r="41" spans="2:11" ht="217.5">
      <c r="B41" s="213" t="s">
        <v>2951</v>
      </c>
      <c r="C41" s="209" t="s">
        <v>2784</v>
      </c>
      <c r="D41" s="239" t="s">
        <v>1598</v>
      </c>
      <c r="E41" s="217"/>
      <c r="F41" s="216" t="s">
        <v>22</v>
      </c>
      <c r="G41" s="215" t="s">
        <v>2942</v>
      </c>
      <c r="H41" s="215" t="s">
        <v>2949</v>
      </c>
      <c r="I41" s="2"/>
      <c r="J41" s="17" t="s">
        <v>3134</v>
      </c>
      <c r="K41" s="251" t="s">
        <v>3169</v>
      </c>
    </row>
    <row r="42" spans="2:11" ht="159.5">
      <c r="B42" s="213" t="s">
        <v>3136</v>
      </c>
      <c r="C42" s="209" t="s">
        <v>2784</v>
      </c>
      <c r="D42" s="239" t="s">
        <v>1598</v>
      </c>
      <c r="E42" s="217"/>
      <c r="F42" s="216" t="s">
        <v>22</v>
      </c>
      <c r="G42" s="215" t="s">
        <v>2766</v>
      </c>
      <c r="H42" s="215" t="s">
        <v>2978</v>
      </c>
      <c r="I42" s="2"/>
      <c r="J42" s="17" t="s">
        <v>3137</v>
      </c>
      <c r="K42" s="251" t="s">
        <v>3169</v>
      </c>
    </row>
    <row r="43" spans="2:11" ht="174">
      <c r="B43" s="247" t="s">
        <v>3138</v>
      </c>
      <c r="C43" s="209" t="s">
        <v>2784</v>
      </c>
      <c r="D43" s="239" t="s">
        <v>1598</v>
      </c>
      <c r="E43" s="217"/>
      <c r="F43" s="216" t="s">
        <v>22</v>
      </c>
      <c r="G43" s="215" t="s">
        <v>2980</v>
      </c>
      <c r="H43" s="215" t="s">
        <v>2981</v>
      </c>
      <c r="I43" s="2"/>
      <c r="J43" s="17" t="s">
        <v>3137</v>
      </c>
      <c r="K43" s="252" t="s">
        <v>3169</v>
      </c>
    </row>
    <row r="44" spans="2:11" ht="130.5">
      <c r="B44" s="213" t="s">
        <v>3139</v>
      </c>
      <c r="C44" s="209" t="s">
        <v>2784</v>
      </c>
      <c r="D44" s="239" t="s">
        <v>1598</v>
      </c>
      <c r="E44" s="217"/>
      <c r="F44" s="216" t="s">
        <v>22</v>
      </c>
      <c r="G44" s="215" t="s">
        <v>2983</v>
      </c>
      <c r="H44" s="215" t="s">
        <v>2981</v>
      </c>
      <c r="I44" s="2"/>
      <c r="J44" s="17" t="s">
        <v>3140</v>
      </c>
      <c r="K44" s="252" t="s">
        <v>3169</v>
      </c>
    </row>
    <row r="45" spans="2:11" ht="261">
      <c r="B45" s="213" t="s">
        <v>3141</v>
      </c>
      <c r="C45" s="209" t="s">
        <v>2784</v>
      </c>
      <c r="D45" s="239" t="s">
        <v>1598</v>
      </c>
      <c r="E45" s="217"/>
      <c r="F45" s="216" t="s">
        <v>22</v>
      </c>
      <c r="G45" s="215" t="s">
        <v>3000</v>
      </c>
      <c r="H45" s="215" t="s">
        <v>3001</v>
      </c>
      <c r="I45" s="2"/>
      <c r="J45" s="17" t="s">
        <v>3142</v>
      </c>
      <c r="K45" s="252" t="s">
        <v>3169</v>
      </c>
    </row>
    <row r="46" spans="2:11" ht="116">
      <c r="B46" s="213" t="s">
        <v>3143</v>
      </c>
      <c r="C46" s="209" t="s">
        <v>2321</v>
      </c>
      <c r="D46" s="218" t="s">
        <v>2322</v>
      </c>
      <c r="E46" s="213" t="s">
        <v>2323</v>
      </c>
      <c r="F46" s="216" t="s">
        <v>22</v>
      </c>
      <c r="G46" s="215" t="s">
        <v>2632</v>
      </c>
      <c r="H46" s="219" t="s">
        <v>2633</v>
      </c>
      <c r="I46" s="2"/>
      <c r="J46" s="2" t="s">
        <v>3144</v>
      </c>
      <c r="K46" s="78" t="s">
        <v>3172</v>
      </c>
    </row>
    <row r="47" spans="2:11" ht="188.5">
      <c r="B47" s="213" t="s">
        <v>3007</v>
      </c>
      <c r="C47" s="209" t="s">
        <v>2784</v>
      </c>
      <c r="D47" s="239" t="s">
        <v>1598</v>
      </c>
      <c r="E47" s="217"/>
      <c r="F47" s="216" t="s">
        <v>22</v>
      </c>
      <c r="G47" s="215" t="s">
        <v>938</v>
      </c>
      <c r="H47" s="215" t="s">
        <v>2991</v>
      </c>
      <c r="I47" s="2"/>
      <c r="J47" s="2" t="s">
        <v>3144</v>
      </c>
      <c r="K47" s="78" t="s">
        <v>3172</v>
      </c>
    </row>
    <row r="48" spans="2:11" ht="101.5">
      <c r="B48" s="213" t="s">
        <v>3145</v>
      </c>
      <c r="C48" s="209" t="s">
        <v>2321</v>
      </c>
      <c r="D48" s="218" t="s">
        <v>2322</v>
      </c>
      <c r="E48" s="213" t="s">
        <v>2323</v>
      </c>
      <c r="F48" s="216" t="s">
        <v>22</v>
      </c>
      <c r="G48" s="215" t="s">
        <v>632</v>
      </c>
      <c r="H48" s="219" t="s">
        <v>2631</v>
      </c>
      <c r="I48" s="2"/>
      <c r="J48" s="17" t="s">
        <v>3146</v>
      </c>
      <c r="K48" s="252" t="s">
        <v>3172</v>
      </c>
    </row>
    <row r="49" spans="2:11" ht="409.5">
      <c r="B49" s="213" t="s">
        <v>3147</v>
      </c>
      <c r="C49" s="209" t="s">
        <v>2784</v>
      </c>
      <c r="D49" s="239" t="s">
        <v>1598</v>
      </c>
      <c r="E49" s="217"/>
      <c r="F49" s="216" t="s">
        <v>22</v>
      </c>
      <c r="G49" s="215" t="s">
        <v>1630</v>
      </c>
      <c r="H49" s="215" t="s">
        <v>2962</v>
      </c>
      <c r="I49" s="2"/>
      <c r="J49" s="17" t="s">
        <v>3150</v>
      </c>
      <c r="K49" s="252" t="s">
        <v>3172</v>
      </c>
    </row>
    <row r="50" spans="2:11" ht="39">
      <c r="B50" s="2" t="s">
        <v>2977</v>
      </c>
      <c r="C50" s="209" t="s">
        <v>2784</v>
      </c>
      <c r="D50" s="239" t="s">
        <v>1598</v>
      </c>
      <c r="E50" s="217"/>
      <c r="F50" s="216" t="s">
        <v>22</v>
      </c>
      <c r="G50" s="215" t="s">
        <v>547</v>
      </c>
      <c r="H50" s="215" t="s">
        <v>2973</v>
      </c>
      <c r="I50" s="2"/>
      <c r="J50" s="17" t="s">
        <v>3150</v>
      </c>
      <c r="K50" s="78" t="s">
        <v>3178</v>
      </c>
    </row>
    <row r="51" spans="2:11" ht="101.5">
      <c r="B51" s="213" t="s">
        <v>3149</v>
      </c>
      <c r="C51" s="209" t="s">
        <v>2784</v>
      </c>
      <c r="D51" s="239" t="s">
        <v>1598</v>
      </c>
      <c r="E51" s="217"/>
      <c r="F51" s="216" t="s">
        <v>22</v>
      </c>
      <c r="G51" s="215" t="s">
        <v>2963</v>
      </c>
      <c r="H51" s="215" t="s">
        <v>2964</v>
      </c>
      <c r="I51" s="2"/>
      <c r="J51" s="17" t="s">
        <v>3150</v>
      </c>
      <c r="K51" s="78" t="s">
        <v>3178</v>
      </c>
    </row>
    <row r="52" spans="2:11" ht="409.5">
      <c r="B52" s="213" t="s">
        <v>3152</v>
      </c>
      <c r="C52" s="209" t="s">
        <v>2784</v>
      </c>
      <c r="D52" s="239" t="s">
        <v>1598</v>
      </c>
      <c r="E52" s="217"/>
      <c r="F52" s="216" t="s">
        <v>22</v>
      </c>
      <c r="G52" s="215" t="s">
        <v>2952</v>
      </c>
      <c r="H52" s="215" t="s">
        <v>2953</v>
      </c>
      <c r="I52" s="2"/>
      <c r="J52" s="17" t="s">
        <v>3153</v>
      </c>
      <c r="K52" s="254"/>
    </row>
    <row r="53" spans="2:11" ht="39">
      <c r="B53" s="213" t="s">
        <v>2990</v>
      </c>
      <c r="C53" s="209" t="s">
        <v>2784</v>
      </c>
      <c r="D53" s="239" t="s">
        <v>1598</v>
      </c>
      <c r="E53" s="217"/>
      <c r="F53" s="216" t="s">
        <v>22</v>
      </c>
      <c r="G53" s="215" t="s">
        <v>2988</v>
      </c>
      <c r="H53" s="215" t="s">
        <v>2989</v>
      </c>
      <c r="I53" s="2"/>
      <c r="J53" s="2" t="s">
        <v>3155</v>
      </c>
      <c r="K53" s="78" t="s">
        <v>3176</v>
      </c>
    </row>
    <row r="54" spans="2:11" ht="52">
      <c r="B54" s="206" t="s">
        <v>2636</v>
      </c>
      <c r="C54" s="209" t="s">
        <v>2321</v>
      </c>
      <c r="D54" s="218" t="s">
        <v>2322</v>
      </c>
      <c r="E54" s="213" t="s">
        <v>2323</v>
      </c>
      <c r="F54" s="216" t="s">
        <v>22</v>
      </c>
      <c r="G54" s="215" t="s">
        <v>2634</v>
      </c>
      <c r="H54" s="219" t="s">
        <v>2635</v>
      </c>
      <c r="I54" s="7"/>
      <c r="J54" s="7" t="s">
        <v>3148</v>
      </c>
      <c r="K54" s="78" t="s">
        <v>3176</v>
      </c>
    </row>
  </sheetData>
  <autoFilter ref="A1:K54"/>
  <hyperlinks>
    <hyperlink ref="F2" r:id="rId1" tooltip="ATTACHMENT 6. Scope of Work_LAO.pdf"/>
    <hyperlink ref="F3" r:id="rId2" tooltip="ATTACHMENT 6. Scope of Work_LAO.pdf"/>
    <hyperlink ref="F5" r:id="rId3" tooltip="ATTACHMENT 6. Scope of Work_LAO.pdf"/>
    <hyperlink ref="F4" r:id="rId4" tooltip="ATTACHMENT 6. Scope of Work_LAO.pdf"/>
    <hyperlink ref="F6" r:id="rId5" tooltip="GCC-CC7-PM-00000-ME-TSP-00006_00_2.pdf"/>
    <hyperlink ref="F7" r:id="rId6" tooltip="ATTACHMENT 6. Scope of Work_LAO.pdf"/>
    <hyperlink ref="F8" r:id="rId7" tooltip="ATTACHMENT 6. Scope of Work_LAO.pdf"/>
    <hyperlink ref="F9" r:id="rId8" tooltip="ATTACHMENT 6. Scope of Work_LAO.pdf"/>
    <hyperlink ref="F11" r:id="rId9" tooltip="GCC-CC7-PM-00000-ME-TSP-00006_00_2.pdf"/>
    <hyperlink ref="F10" r:id="rId10" tooltip="GCC-CC7-PM-00000-ME-TSP-00001_AA_2 (1).pdf"/>
    <hyperlink ref="F12" r:id="rId11" tooltip="GCC-CC7-PM-00000-ME-TSP-00006_00_2.pdf"/>
    <hyperlink ref="F13" r:id="rId12" tooltip="GCC-CC7-PM-00000-ME-TSP-00006_00_2.pdf"/>
    <hyperlink ref="F14" r:id="rId13" tooltip="ATTACHMENT 6. Scope of Work_LAO.pdf"/>
    <hyperlink ref="F15" r:id="rId14" tooltip="ATTACHMENT 6. Scope of Work_LAO.pdf"/>
    <hyperlink ref="F16" r:id="rId15" tooltip="ATTACHMENT 6. Scope of Work_LAO.pdf"/>
    <hyperlink ref="F17" r:id="rId16" tooltip="ATTACHMENT 6. Scope of Work_LAO.pdf"/>
    <hyperlink ref="F18" r:id="rId17" tooltip="ATTACHMENT 6. Scope of Work_LAO.pdf"/>
    <hyperlink ref="F19" r:id="rId18" tooltip="GCC-CC7-PM-00000-ME-TSP-00006_00_2.pdf"/>
    <hyperlink ref="F20" r:id="rId19" tooltip="ATTACHMENT 6. Scope of Work_LAO.pdf"/>
    <hyperlink ref="F22" r:id="rId20" tooltip="GCC-CC7-PM-00000-ME-TSP-00001_AA_2 (1).pdf"/>
    <hyperlink ref="F23" r:id="rId21" tooltip="GCC-CC7-PM-00000-ME-TSP-00001_AA_2 (1).pdf"/>
    <hyperlink ref="F21" r:id="rId22" tooltip="GCC-CC7-PM-00000-ME-TSP-00001_AA_2 (1).pdf"/>
    <hyperlink ref="F25" r:id="rId23" tooltip="GCC-CC7-PM-00000-ME-TSP-00001_AA_2 (1).pdf"/>
    <hyperlink ref="F24" r:id="rId24" tooltip="GCC-CC7-PM-00000-ME-TSP-00001_AA_2 (1).pdf"/>
    <hyperlink ref="F26" r:id="rId25" tooltip="GCC-CC7-PM-00000-ME-TSP-00001_AA_2 (1).pdf"/>
    <hyperlink ref="F27" r:id="rId26" tooltip="GCC-CC7-PM-00000-ME-TSP-00006_00_2.pdf"/>
    <hyperlink ref="F28" r:id="rId27" tooltip="GCC-CC7-PM-00000-ME-TSP-00006_00_2.pdf"/>
    <hyperlink ref="F29" r:id="rId28" tooltip="ATTACHMENT 6. Scope of Work_LAO.pdf"/>
    <hyperlink ref="F30" r:id="rId29" tooltip="GCC-CC7-PM-00000-ME-TSP-00002_AA_2.pdf"/>
    <hyperlink ref="F31" r:id="rId30" tooltip="GCC-CC7-PM-00000-ME-TSP-00006_00_2.pdf"/>
    <hyperlink ref="F32" r:id="rId31" tooltip="ATTACHMENT 6. Scope of Work_LAO.pdf"/>
    <hyperlink ref="F33" r:id="rId32" tooltip="GCC-CC7-PM-00000-ME-TSP-00006_00_2.pdf"/>
    <hyperlink ref="F34" r:id="rId33" tooltip="GCC-CC7-PM-00000-ME-TSP-00006_00_2.pdf"/>
    <hyperlink ref="F35" r:id="rId34" tooltip="GCC-CC7-PM-00000-ME-TSP-00006_00_2.pdf"/>
    <hyperlink ref="F36" r:id="rId35" tooltip="GCC-CC7-PM-00000-ME-TSP-00006_00_2.pdf"/>
    <hyperlink ref="F37" r:id="rId36" tooltip="ATTACHMENT 6. Scope of Work_LAO.pdf"/>
    <hyperlink ref="F38" r:id="rId37" tooltip="GCC-CC7-PM-00000-ME-TSP-00006_00_2.pdf"/>
    <hyperlink ref="F39" r:id="rId38" tooltip="ATTACHMENT 6. Scope of Work_LAO.pdf"/>
    <hyperlink ref="F40" r:id="rId39" tooltip="ATTACHMENT 6. Scope of Work_LAO.pdf"/>
    <hyperlink ref="F41" r:id="rId40" tooltip="ATTACHMENT 6. Scope of Work_LAO.pdf"/>
    <hyperlink ref="F42" r:id="rId41" tooltip="ATTACHMENT 6. Scope of Work_LAO.pdf"/>
    <hyperlink ref="F43" r:id="rId42" tooltip="ATTACHMENT 6. Scope of Work_LAO.pdf"/>
    <hyperlink ref="F44" r:id="rId43" tooltip="ATTACHMENT 6. Scope of Work_LAO.pdf"/>
    <hyperlink ref="F48" r:id="rId44" tooltip="GCC-CC7-PM-00000-ME-TSP-00006_00_2.pdf"/>
    <hyperlink ref="F46" r:id="rId45" tooltip="GCC-CC7-PM-00000-ME-TSP-00006_00_2.pdf"/>
    <hyperlink ref="F47" r:id="rId46" tooltip="ATTACHMENT 6. Scope of Work_LAO.pdf"/>
    <hyperlink ref="F45" r:id="rId47" tooltip="ATTACHMENT 6. Scope of Work_LAO.pdf"/>
    <hyperlink ref="F49" r:id="rId48" tooltip="ATTACHMENT 6. Scope of Work_LAO.pdf"/>
    <hyperlink ref="F51" r:id="rId49" tooltip="ATTACHMENT 6. Scope of Work_LAO.pdf"/>
    <hyperlink ref="F50" r:id="rId50" tooltip="ATTACHMENT 6. Scope of Work_LAO.pdf"/>
    <hyperlink ref="F52" r:id="rId51" tooltip="ATTACHMENT 6. Scope of Work_LAO.pdf"/>
    <hyperlink ref="F53" r:id="rId52" tooltip="ATTACHMENT 6. Scope of Work_LAO.pdf"/>
    <hyperlink ref="F54" r:id="rId53" tooltip="GCC-CC7-PM-00000-ME-TSP-00006_00_2.pdf"/>
  </hyperlinks>
  <pageMargins left="0.7" right="0.7" top="0.75" bottom="0.75" header="0.3" footer="0.3"/>
  <pageSetup paperSize="9" orientation="portrait" horizontalDpi="300" verticalDpi="0" r:id="rId5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tabColor theme="8" tint="0.59999389629810485"/>
  </sheetPr>
  <dimension ref="A1:P76"/>
  <sheetViews>
    <sheetView topLeftCell="D10" zoomScale="55" zoomScaleNormal="55" workbookViewId="0">
      <selection activeCell="L10" sqref="L10"/>
    </sheetView>
  </sheetViews>
  <sheetFormatPr baseColWidth="10" defaultRowHeight="14.5"/>
  <cols>
    <col min="2" max="2" width="46" customWidth="1"/>
    <col min="3" max="3" width="62.54296875" style="62" customWidth="1"/>
    <col min="4" max="4" width="14.81640625" customWidth="1"/>
    <col min="5" max="5" width="20.54296875" customWidth="1"/>
    <col min="6" max="6" width="26.453125" customWidth="1"/>
    <col min="7" max="8" width="28.26953125" customWidth="1"/>
    <col min="9" max="9" width="9.54296875" customWidth="1"/>
    <col min="10" max="15" width="21.1796875" customWidth="1"/>
    <col min="16" max="16" width="72.1796875" customWidth="1"/>
    <col min="17" max="17" width="21.1796875" customWidth="1"/>
  </cols>
  <sheetData>
    <row r="1" spans="1:16">
      <c r="B1" t="s">
        <v>1507</v>
      </c>
    </row>
    <row r="2" spans="1:16" ht="15.5">
      <c r="D2" s="67" t="s">
        <v>1535</v>
      </c>
    </row>
    <row r="3" spans="1:16">
      <c r="A3" t="s">
        <v>1508</v>
      </c>
      <c r="D3" s="68" t="s">
        <v>1587</v>
      </c>
    </row>
    <row r="4" spans="1:16" ht="21">
      <c r="D4" s="70" t="s">
        <v>779</v>
      </c>
    </row>
    <row r="5" spans="1:16" ht="29">
      <c r="B5" s="40" t="s">
        <v>1509</v>
      </c>
      <c r="C5" s="63"/>
    </row>
    <row r="7" spans="1:16" ht="36">
      <c r="B7" s="65" t="s">
        <v>1530</v>
      </c>
      <c r="C7" s="65" t="s">
        <v>1533</v>
      </c>
      <c r="D7" s="65" t="s">
        <v>1534</v>
      </c>
      <c r="E7" s="65" t="s">
        <v>1537</v>
      </c>
      <c r="F7" s="65" t="s">
        <v>1539</v>
      </c>
      <c r="G7" s="65" t="s">
        <v>1541</v>
      </c>
      <c r="H7" s="65" t="s">
        <v>106</v>
      </c>
      <c r="I7" s="65"/>
      <c r="J7" s="66" t="s">
        <v>1486</v>
      </c>
      <c r="K7" s="66" t="s">
        <v>1513</v>
      </c>
      <c r="L7" s="66" t="s">
        <v>1488</v>
      </c>
      <c r="M7" s="66" t="s">
        <v>1513</v>
      </c>
      <c r="N7" s="66" t="s">
        <v>1512</v>
      </c>
      <c r="O7" s="66" t="s">
        <v>1513</v>
      </c>
    </row>
    <row r="8" spans="1:16" ht="46.5">
      <c r="B8" s="5" t="s">
        <v>1532</v>
      </c>
      <c r="C8" s="5" t="s">
        <v>1531</v>
      </c>
      <c r="D8" s="67" t="s">
        <v>1535</v>
      </c>
      <c r="E8" s="5" t="s">
        <v>1536</v>
      </c>
      <c r="F8" s="5" t="s">
        <v>1538</v>
      </c>
      <c r="G8" s="5" t="s">
        <v>1540</v>
      </c>
      <c r="H8" s="6" t="s">
        <v>1510</v>
      </c>
      <c r="I8" s="6"/>
      <c r="J8" s="6" t="s">
        <v>1511</v>
      </c>
      <c r="K8" s="6"/>
      <c r="L8" s="6" t="s">
        <v>1511</v>
      </c>
      <c r="M8" s="6"/>
      <c r="N8" s="64">
        <v>240</v>
      </c>
      <c r="O8" s="6" t="s">
        <v>1514</v>
      </c>
      <c r="P8" s="5" t="s">
        <v>1518</v>
      </c>
    </row>
    <row r="9" spans="1:16" ht="15.5">
      <c r="B9" s="5" t="s">
        <v>1532</v>
      </c>
      <c r="C9" s="64"/>
      <c r="D9" s="67" t="s">
        <v>1535</v>
      </c>
      <c r="E9" s="64"/>
      <c r="F9" s="64"/>
      <c r="G9" s="64"/>
      <c r="H9" s="6" t="s">
        <v>1515</v>
      </c>
      <c r="I9" s="6"/>
      <c r="J9" s="6" t="s">
        <v>1511</v>
      </c>
      <c r="K9" s="6"/>
      <c r="L9" s="6" t="s">
        <v>1516</v>
      </c>
      <c r="M9" s="6"/>
      <c r="N9" s="6">
        <v>200</v>
      </c>
      <c r="O9" s="6" t="s">
        <v>1517</v>
      </c>
      <c r="P9" s="6" t="s">
        <v>1519</v>
      </c>
    </row>
    <row r="10" spans="1:16" ht="46" customHeight="1">
      <c r="B10" s="6" t="s">
        <v>1546</v>
      </c>
      <c r="C10" s="6" t="s">
        <v>1542</v>
      </c>
      <c r="D10" s="67" t="s">
        <v>1535</v>
      </c>
      <c r="E10" s="64" t="s">
        <v>1543</v>
      </c>
      <c r="F10" s="64" t="s">
        <v>1544</v>
      </c>
      <c r="G10" s="64" t="s">
        <v>1545</v>
      </c>
      <c r="H10" s="6"/>
      <c r="I10" s="6"/>
      <c r="J10" s="6" t="s">
        <v>1511</v>
      </c>
      <c r="K10" s="6"/>
      <c r="L10" s="6" t="s">
        <v>1520</v>
      </c>
      <c r="M10" s="6"/>
      <c r="N10" s="6">
        <v>240</v>
      </c>
      <c r="O10" s="6" t="s">
        <v>1521</v>
      </c>
    </row>
    <row r="11" spans="1:16" ht="42.65" customHeight="1">
      <c r="B11" s="5" t="s">
        <v>1559</v>
      </c>
      <c r="C11" s="5" t="s">
        <v>1542</v>
      </c>
      <c r="D11" s="67" t="s">
        <v>1535</v>
      </c>
      <c r="E11" s="64" t="s">
        <v>1543</v>
      </c>
      <c r="F11" s="64" t="s">
        <v>1547</v>
      </c>
      <c r="G11" s="64" t="s">
        <v>1545</v>
      </c>
      <c r="H11" s="6"/>
      <c r="I11" s="6"/>
      <c r="J11" s="6" t="s">
        <v>1522</v>
      </c>
      <c r="K11" s="6"/>
      <c r="L11" s="6" t="s">
        <v>1523</v>
      </c>
      <c r="M11" s="6"/>
      <c r="N11" s="6" t="s">
        <v>1524</v>
      </c>
      <c r="O11" s="6" t="s">
        <v>1514</v>
      </c>
    </row>
    <row r="12" spans="1:16" ht="32.15" customHeight="1">
      <c r="B12" s="6" t="s">
        <v>1560</v>
      </c>
      <c r="C12" s="6" t="s">
        <v>1550</v>
      </c>
      <c r="D12" s="68" t="s">
        <v>1549</v>
      </c>
      <c r="E12" s="64" t="s">
        <v>1543</v>
      </c>
      <c r="F12" s="64" t="s">
        <v>1548</v>
      </c>
      <c r="G12" s="64" t="s">
        <v>1543</v>
      </c>
      <c r="H12" s="6"/>
      <c r="I12" s="64"/>
      <c r="J12" s="6" t="s">
        <v>1525</v>
      </c>
      <c r="K12" s="6"/>
      <c r="L12" s="6"/>
      <c r="M12" s="6"/>
      <c r="N12" s="6">
        <v>200</v>
      </c>
      <c r="O12" s="6" t="s">
        <v>1514</v>
      </c>
    </row>
    <row r="13" spans="1:16" ht="31">
      <c r="B13" s="5" t="s">
        <v>1561</v>
      </c>
      <c r="C13" s="5" t="s">
        <v>1551</v>
      </c>
      <c r="D13" s="68" t="s">
        <v>1549</v>
      </c>
      <c r="E13" s="64" t="s">
        <v>1543</v>
      </c>
      <c r="F13" s="64" t="s">
        <v>1552</v>
      </c>
      <c r="G13" s="64" t="s">
        <v>1543</v>
      </c>
      <c r="H13" s="6"/>
      <c r="I13" s="64"/>
      <c r="J13" s="6" t="s">
        <v>1511</v>
      </c>
      <c r="K13" s="6"/>
      <c r="L13" s="64"/>
      <c r="M13" s="64"/>
      <c r="N13" s="6" t="s">
        <v>1526</v>
      </c>
      <c r="O13" s="6" t="s">
        <v>1527</v>
      </c>
    </row>
    <row r="14" spans="1:16" ht="31">
      <c r="B14" s="5" t="s">
        <v>1562</v>
      </c>
      <c r="C14" s="5" t="s">
        <v>1551</v>
      </c>
      <c r="D14" s="68" t="s">
        <v>1549</v>
      </c>
      <c r="E14" s="64" t="s">
        <v>1543</v>
      </c>
      <c r="F14" s="64" t="s">
        <v>1547</v>
      </c>
      <c r="G14" s="64" t="s">
        <v>1543</v>
      </c>
      <c r="H14" s="6"/>
      <c r="I14" s="64"/>
      <c r="J14" s="6" t="s">
        <v>1522</v>
      </c>
      <c r="K14" s="6"/>
      <c r="L14" s="6"/>
      <c r="M14" s="6"/>
      <c r="N14" s="6" t="s">
        <v>1526</v>
      </c>
      <c r="O14" s="6" t="s">
        <v>1527</v>
      </c>
    </row>
    <row r="15" spans="1:16" ht="15.5">
      <c r="B15" s="5" t="s">
        <v>1554</v>
      </c>
      <c r="C15" s="5" t="s">
        <v>1553</v>
      </c>
      <c r="D15" s="68" t="s">
        <v>1555</v>
      </c>
      <c r="E15" s="64"/>
      <c r="F15" s="64" t="s">
        <v>1556</v>
      </c>
      <c r="G15" s="64" t="s">
        <v>1543</v>
      </c>
      <c r="H15" s="6"/>
      <c r="I15" s="64"/>
      <c r="J15" s="6" t="s">
        <v>1511</v>
      </c>
      <c r="K15" s="6"/>
      <c r="L15" s="6" t="s">
        <v>1511</v>
      </c>
      <c r="M15" s="6"/>
      <c r="N15" s="6" t="s">
        <v>1528</v>
      </c>
      <c r="O15" s="6" t="s">
        <v>1514</v>
      </c>
    </row>
    <row r="16" spans="1:16" ht="31">
      <c r="B16" s="5" t="s">
        <v>1563</v>
      </c>
      <c r="C16" s="5" t="s">
        <v>1557</v>
      </c>
      <c r="D16" s="68"/>
      <c r="E16" s="64"/>
      <c r="F16" s="64"/>
      <c r="G16" s="64" t="s">
        <v>1558</v>
      </c>
      <c r="H16" s="64"/>
      <c r="I16" s="64"/>
      <c r="J16" s="6" t="s">
        <v>1529</v>
      </c>
      <c r="K16" s="6"/>
      <c r="L16" s="6"/>
      <c r="M16" s="6"/>
      <c r="N16" s="6">
        <v>60</v>
      </c>
      <c r="O16" s="6" t="s">
        <v>1527</v>
      </c>
    </row>
    <row r="19" spans="1:15">
      <c r="A19" t="s">
        <v>1505</v>
      </c>
    </row>
    <row r="20" spans="1:15" ht="29">
      <c r="B20" s="40" t="s">
        <v>1506</v>
      </c>
      <c r="C20" s="63"/>
    </row>
    <row r="22" spans="1:15" ht="36">
      <c r="B22" s="65" t="s">
        <v>1530</v>
      </c>
      <c r="C22" s="65" t="s">
        <v>1533</v>
      </c>
      <c r="D22" s="65" t="s">
        <v>1534</v>
      </c>
      <c r="E22" s="65" t="s">
        <v>1537</v>
      </c>
      <c r="F22" s="65" t="s">
        <v>1539</v>
      </c>
      <c r="G22" s="65" t="s">
        <v>1541</v>
      </c>
      <c r="H22" s="65" t="s">
        <v>106</v>
      </c>
      <c r="I22" s="65"/>
      <c r="J22" s="66" t="s">
        <v>1486</v>
      </c>
      <c r="K22" s="66" t="s">
        <v>1513</v>
      </c>
      <c r="L22" s="66" t="s">
        <v>1488</v>
      </c>
      <c r="M22" s="66" t="s">
        <v>1513</v>
      </c>
      <c r="N22" s="66" t="s">
        <v>1512</v>
      </c>
      <c r="O22" s="66" t="s">
        <v>1513</v>
      </c>
    </row>
    <row r="23" spans="1:15" ht="34.5" customHeight="1">
      <c r="B23" s="5" t="s">
        <v>1532</v>
      </c>
      <c r="C23" s="5" t="s">
        <v>1564</v>
      </c>
      <c r="D23" s="69" t="s">
        <v>1565</v>
      </c>
      <c r="E23" s="5" t="s">
        <v>1536</v>
      </c>
      <c r="F23" s="64" t="s">
        <v>1566</v>
      </c>
      <c r="G23" s="64" t="s">
        <v>1567</v>
      </c>
      <c r="H23" s="6" t="s">
        <v>1510</v>
      </c>
      <c r="I23" s="64"/>
      <c r="J23" s="6" t="s">
        <v>1487</v>
      </c>
      <c r="K23" s="6">
        <v>50</v>
      </c>
      <c r="L23" s="6" t="s">
        <v>1489</v>
      </c>
      <c r="M23" s="6">
        <v>60</v>
      </c>
      <c r="N23" s="6">
        <v>110</v>
      </c>
      <c r="O23" s="6">
        <v>2</v>
      </c>
    </row>
    <row r="24" spans="1:15" ht="34.5" customHeight="1">
      <c r="B24" s="5" t="s">
        <v>1532</v>
      </c>
      <c r="C24" s="5" t="s">
        <v>1564</v>
      </c>
      <c r="D24" s="69" t="s">
        <v>1565</v>
      </c>
      <c r="E24" s="5" t="s">
        <v>1536</v>
      </c>
      <c r="F24" s="64" t="s">
        <v>1566</v>
      </c>
      <c r="G24" s="64" t="s">
        <v>1567</v>
      </c>
      <c r="H24" s="6" t="s">
        <v>1515</v>
      </c>
      <c r="I24" s="64"/>
      <c r="J24" s="6" t="s">
        <v>1490</v>
      </c>
      <c r="K24" s="6" t="s">
        <v>1568</v>
      </c>
      <c r="L24" s="6" t="s">
        <v>1491</v>
      </c>
      <c r="M24" s="6" t="s">
        <v>1569</v>
      </c>
      <c r="N24" s="6">
        <v>270</v>
      </c>
      <c r="O24" s="6">
        <v>4</v>
      </c>
    </row>
    <row r="25" spans="1:15" ht="34.5" customHeight="1">
      <c r="B25" s="5" t="s">
        <v>1546</v>
      </c>
      <c r="C25" s="5" t="s">
        <v>1571</v>
      </c>
      <c r="D25" s="68" t="s">
        <v>1572</v>
      </c>
      <c r="E25" s="64"/>
      <c r="F25" s="64" t="s">
        <v>1573</v>
      </c>
      <c r="G25" s="64" t="s">
        <v>1545</v>
      </c>
      <c r="H25" s="6"/>
      <c r="I25" s="64"/>
      <c r="J25" s="6"/>
      <c r="K25" s="6"/>
      <c r="L25" s="6" t="s">
        <v>1492</v>
      </c>
      <c r="M25" s="6" t="s">
        <v>1570</v>
      </c>
      <c r="N25" s="6">
        <v>100</v>
      </c>
      <c r="O25" s="6">
        <v>4</v>
      </c>
    </row>
    <row r="26" spans="1:15" ht="34.5" customHeight="1">
      <c r="B26" s="5" t="s">
        <v>1559</v>
      </c>
      <c r="C26" s="5" t="s">
        <v>1574</v>
      </c>
      <c r="D26" s="68" t="s">
        <v>1572</v>
      </c>
      <c r="E26" s="64"/>
      <c r="F26" s="64"/>
      <c r="G26" s="64" t="s">
        <v>1567</v>
      </c>
      <c r="H26" s="6"/>
      <c r="I26" s="64"/>
      <c r="J26" s="6" t="s">
        <v>1493</v>
      </c>
      <c r="K26" s="6">
        <v>100</v>
      </c>
      <c r="L26" s="6" t="s">
        <v>1494</v>
      </c>
      <c r="M26" s="6">
        <v>50</v>
      </c>
      <c r="N26" s="6">
        <v>150</v>
      </c>
      <c r="O26" s="6">
        <v>2</v>
      </c>
    </row>
    <row r="27" spans="1:15" ht="34.5" customHeight="1">
      <c r="B27" s="5" t="s">
        <v>1560</v>
      </c>
      <c r="C27" s="5" t="s">
        <v>1575</v>
      </c>
      <c r="D27" s="68" t="s">
        <v>1572</v>
      </c>
      <c r="E27" s="64"/>
      <c r="F27" s="64"/>
      <c r="G27" s="64" t="s">
        <v>1567</v>
      </c>
      <c r="H27" s="6"/>
      <c r="I27" s="64"/>
      <c r="J27" s="6" t="s">
        <v>1495</v>
      </c>
      <c r="K27" s="6">
        <v>100</v>
      </c>
      <c r="L27" s="6" t="s">
        <v>1496</v>
      </c>
      <c r="M27" s="6">
        <v>50</v>
      </c>
      <c r="N27" s="6">
        <v>150</v>
      </c>
      <c r="O27" s="6">
        <v>2</v>
      </c>
    </row>
    <row r="28" spans="1:15" ht="34.5" customHeight="1">
      <c r="B28" s="5" t="s">
        <v>1561</v>
      </c>
      <c r="C28" s="5" t="s">
        <v>1553</v>
      </c>
      <c r="D28" s="68" t="s">
        <v>1555</v>
      </c>
      <c r="E28" s="64"/>
      <c r="F28" s="64" t="s">
        <v>1586</v>
      </c>
      <c r="G28" s="64" t="s">
        <v>1540</v>
      </c>
      <c r="H28" s="6"/>
      <c r="I28" s="64"/>
      <c r="J28" s="6" t="s">
        <v>1497</v>
      </c>
      <c r="K28" s="6">
        <v>125</v>
      </c>
      <c r="L28" s="6" t="s">
        <v>1498</v>
      </c>
      <c r="M28" s="6">
        <v>100</v>
      </c>
      <c r="N28" s="6">
        <v>225</v>
      </c>
      <c r="O28" s="6">
        <v>2</v>
      </c>
    </row>
    <row r="29" spans="1:15" ht="34.5" customHeight="1">
      <c r="B29" s="5" t="s">
        <v>1562</v>
      </c>
      <c r="C29" s="5" t="s">
        <v>1576</v>
      </c>
      <c r="D29" s="69" t="s">
        <v>1584</v>
      </c>
      <c r="E29" s="64"/>
      <c r="F29" s="64" t="s">
        <v>1585</v>
      </c>
      <c r="G29" s="64" t="s">
        <v>1540</v>
      </c>
      <c r="H29" s="6"/>
      <c r="I29" s="64"/>
      <c r="J29" s="6" t="s">
        <v>1490</v>
      </c>
      <c r="K29" s="6" t="s">
        <v>1568</v>
      </c>
      <c r="L29" s="6" t="s">
        <v>1491</v>
      </c>
      <c r="M29" s="6" t="s">
        <v>1569</v>
      </c>
      <c r="N29" s="6">
        <v>270</v>
      </c>
      <c r="O29" s="6">
        <v>4</v>
      </c>
    </row>
    <row r="30" spans="1:15" ht="34.5" customHeight="1">
      <c r="B30" s="5" t="s">
        <v>1554</v>
      </c>
      <c r="C30" s="5" t="s">
        <v>1576</v>
      </c>
      <c r="D30" s="69" t="s">
        <v>1584</v>
      </c>
      <c r="E30" s="64"/>
      <c r="F30" s="64" t="s">
        <v>1583</v>
      </c>
      <c r="G30" s="64" t="s">
        <v>1540</v>
      </c>
      <c r="H30" s="6"/>
      <c r="I30" s="64"/>
      <c r="J30" s="6" t="s">
        <v>1499</v>
      </c>
      <c r="K30" s="6" t="s">
        <v>1568</v>
      </c>
      <c r="L30" s="6"/>
      <c r="M30" s="6"/>
      <c r="N30" s="6">
        <v>200</v>
      </c>
      <c r="O30" s="6">
        <v>2</v>
      </c>
    </row>
    <row r="31" spans="1:15" ht="34.5" customHeight="1">
      <c r="B31" s="5" t="s">
        <v>1563</v>
      </c>
      <c r="C31" s="5" t="s">
        <v>1551</v>
      </c>
      <c r="D31" s="70" t="s">
        <v>779</v>
      </c>
      <c r="E31" s="64"/>
      <c r="F31" s="64" t="s">
        <v>1582</v>
      </c>
      <c r="G31" s="64" t="s">
        <v>1540</v>
      </c>
      <c r="H31" s="6"/>
      <c r="I31" s="64"/>
      <c r="J31" s="6" t="s">
        <v>1490</v>
      </c>
      <c r="K31" s="6">
        <v>100</v>
      </c>
      <c r="L31" s="6"/>
      <c r="M31" s="6"/>
      <c r="N31" s="6">
        <v>100</v>
      </c>
      <c r="O31" s="6">
        <v>1</v>
      </c>
    </row>
    <row r="32" spans="1:15" ht="34.5" customHeight="1">
      <c r="B32" s="5" t="s">
        <v>1588</v>
      </c>
      <c r="C32" s="5" t="s">
        <v>1551</v>
      </c>
      <c r="D32" s="70" t="s">
        <v>779</v>
      </c>
      <c r="E32" s="64"/>
      <c r="F32" s="64" t="s">
        <v>1581</v>
      </c>
      <c r="G32" s="64" t="s">
        <v>1540</v>
      </c>
      <c r="H32" s="6"/>
      <c r="I32" s="64"/>
      <c r="J32" s="6" t="s">
        <v>1500</v>
      </c>
      <c r="K32" s="6">
        <v>20</v>
      </c>
      <c r="L32" s="6"/>
      <c r="M32" s="6"/>
      <c r="N32" s="6">
        <v>20</v>
      </c>
      <c r="O32" s="6">
        <v>1</v>
      </c>
    </row>
    <row r="33" spans="2:16" ht="34.5" customHeight="1">
      <c r="B33" s="5" t="s">
        <v>1589</v>
      </c>
      <c r="C33" s="5" t="s">
        <v>1551</v>
      </c>
      <c r="D33" s="70" t="s">
        <v>779</v>
      </c>
      <c r="E33" s="64"/>
      <c r="F33" s="64" t="s">
        <v>1580</v>
      </c>
      <c r="G33" s="64" t="s">
        <v>1540</v>
      </c>
      <c r="H33" s="6"/>
      <c r="I33" s="64"/>
      <c r="J33" s="6" t="s">
        <v>1492</v>
      </c>
      <c r="K33" s="6">
        <v>25</v>
      </c>
      <c r="L33" s="6"/>
      <c r="M33" s="6"/>
      <c r="N33" s="6">
        <v>25</v>
      </c>
      <c r="O33" s="6">
        <v>1</v>
      </c>
      <c r="P33" s="40" t="s">
        <v>1501</v>
      </c>
    </row>
    <row r="34" spans="2:16" ht="34.5" customHeight="1">
      <c r="B34" s="5" t="s">
        <v>1590</v>
      </c>
      <c r="C34" s="5" t="s">
        <v>1551</v>
      </c>
      <c r="D34" s="70" t="s">
        <v>779</v>
      </c>
      <c r="E34" s="64"/>
      <c r="F34" s="64" t="s">
        <v>1579</v>
      </c>
      <c r="G34" s="64" t="s">
        <v>1540</v>
      </c>
      <c r="H34" s="6"/>
      <c r="I34" s="64"/>
      <c r="J34" s="6" t="s">
        <v>1502</v>
      </c>
      <c r="K34" s="6">
        <v>15</v>
      </c>
      <c r="L34" s="6"/>
      <c r="M34" s="6"/>
      <c r="N34" s="6">
        <v>15</v>
      </c>
      <c r="O34" s="6">
        <v>1</v>
      </c>
    </row>
    <row r="35" spans="2:16" ht="34.5" customHeight="1">
      <c r="B35" s="5" t="s">
        <v>1591</v>
      </c>
      <c r="C35" s="5" t="s">
        <v>1551</v>
      </c>
      <c r="D35" s="70" t="s">
        <v>779</v>
      </c>
      <c r="E35" s="64"/>
      <c r="F35" s="64" t="s">
        <v>1578</v>
      </c>
      <c r="G35" s="64" t="s">
        <v>1540</v>
      </c>
      <c r="H35" s="6"/>
      <c r="I35" s="64"/>
      <c r="J35" s="6" t="s">
        <v>1503</v>
      </c>
      <c r="K35" s="6">
        <v>20</v>
      </c>
      <c r="L35" s="6"/>
      <c r="M35" s="6"/>
      <c r="N35" s="6">
        <v>20</v>
      </c>
      <c r="O35" s="6">
        <v>1</v>
      </c>
    </row>
    <row r="36" spans="2:16" ht="34.5" customHeight="1">
      <c r="B36" s="5" t="s">
        <v>1592</v>
      </c>
      <c r="C36" s="5" t="s">
        <v>1557</v>
      </c>
      <c r="D36" s="70" t="s">
        <v>779</v>
      </c>
      <c r="E36" s="64"/>
      <c r="F36" s="64"/>
      <c r="G36" s="64" t="s">
        <v>1577</v>
      </c>
      <c r="H36" s="6"/>
      <c r="I36" s="64"/>
      <c r="J36" s="6" t="s">
        <v>1504</v>
      </c>
      <c r="K36" s="6">
        <v>60</v>
      </c>
      <c r="L36" s="6"/>
      <c r="M36" s="6"/>
      <c r="N36" s="6">
        <v>60</v>
      </c>
      <c r="O36" s="6">
        <v>1</v>
      </c>
    </row>
    <row r="50" spans="2:3">
      <c r="B50" t="s">
        <v>1924</v>
      </c>
      <c r="C50" s="62" t="str">
        <f>B55&amp;B56&amp;B61&amp;B62&amp;B68</f>
        <v xml:space="preserve">6.1 All electrical equipment of the pump unit shall meet the following technical requirements: 6.2 Electrical Motors Specification GCC-CC7-PF-00000-EL-TSP-9004. 6.3 Low Voltage Variable Speed Drives Specification </v>
      </c>
    </row>
    <row r="51" spans="2:3">
      <c r="B51" t="s">
        <v>1925</v>
      </c>
    </row>
    <row r="52" spans="2:3">
      <c r="B52" t="s">
        <v>1926</v>
      </c>
    </row>
    <row r="53" spans="2:3">
      <c r="B53" t="s">
        <v>1927</v>
      </c>
    </row>
    <row r="55" spans="2:3">
      <c r="B55" t="s">
        <v>1928</v>
      </c>
      <c r="C55" s="134" t="s">
        <v>1907</v>
      </c>
    </row>
    <row r="56" spans="2:3">
      <c r="B56" t="s">
        <v>1929</v>
      </c>
      <c r="C56" s="134" t="s">
        <v>1908</v>
      </c>
    </row>
    <row r="57" spans="2:3">
      <c r="C57" s="134" t="s">
        <v>1909</v>
      </c>
    </row>
    <row r="58" spans="2:3">
      <c r="B58" t="s">
        <v>1930</v>
      </c>
      <c r="C58" s="134" t="s">
        <v>1910</v>
      </c>
    </row>
    <row r="59" spans="2:3">
      <c r="B59" t="s">
        <v>1931</v>
      </c>
      <c r="C59" s="134" t="s">
        <v>1911</v>
      </c>
    </row>
    <row r="60" spans="2:3">
      <c r="C60" s="62" t="s">
        <v>18</v>
      </c>
    </row>
    <row r="61" spans="2:3">
      <c r="B61" t="s">
        <v>1932</v>
      </c>
    </row>
    <row r="62" spans="2:3">
      <c r="B62" t="s">
        <v>1933</v>
      </c>
    </row>
    <row r="63" spans="2:3">
      <c r="C63" s="62" t="str">
        <f>B68&amp;B69&amp;B74&amp;B75&amp;B81</f>
        <v xml:space="preserve">6.3 Low Voltage Variable Speed Drives Specification GCC-CC7-PF-00000-EL-TSP-9002. Medium Voltage Variable Speed Drives Specification </v>
      </c>
    </row>
    <row r="64" spans="2:3">
      <c r="B64" t="s">
        <v>1934</v>
      </c>
    </row>
    <row r="65" spans="2:3">
      <c r="B65" t="s">
        <v>1935</v>
      </c>
    </row>
    <row r="66" spans="2:3">
      <c r="B66" t="s">
        <v>1936</v>
      </c>
      <c r="C66" s="62" t="str">
        <f>B71&amp;B72&amp;B77&amp;B78&amp;B84</f>
        <v>6.4 Технические требования на частотно-регули-руемый привод среднего напряжения № GCC-</v>
      </c>
    </row>
    <row r="68" spans="2:3">
      <c r="B68" t="s">
        <v>1937</v>
      </c>
    </row>
    <row r="69" spans="2:3">
      <c r="B69" t="s">
        <v>1938</v>
      </c>
    </row>
    <row r="71" spans="2:3">
      <c r="B71" t="s">
        <v>1939</v>
      </c>
    </row>
    <row r="72" spans="2:3">
      <c r="B72" t="s">
        <v>1940</v>
      </c>
    </row>
    <row r="73" spans="2:3">
      <c r="B73" t="s">
        <v>1941</v>
      </c>
    </row>
    <row r="75" spans="2:3">
      <c r="B75" t="s">
        <v>1942</v>
      </c>
      <c r="C75" s="62" t="s">
        <v>1945</v>
      </c>
    </row>
    <row r="76" spans="2:3">
      <c r="B76" t="s">
        <v>1943</v>
      </c>
      <c r="C76" s="62" t="s">
        <v>1944</v>
      </c>
    </row>
  </sheetData>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tabColor theme="4" tint="0.59999389629810485"/>
  </sheetPr>
  <dimension ref="B1:AD415"/>
  <sheetViews>
    <sheetView zoomScale="85" zoomScaleNormal="85" workbookViewId="0">
      <pane xSplit="2" ySplit="4" topLeftCell="C5" activePane="bottomRight" state="frozen"/>
      <selection pane="topRight" activeCell="C1" sqref="C1"/>
      <selection pane="bottomLeft" activeCell="A5" sqref="A5"/>
      <selection pane="bottomRight" activeCell="AD6" sqref="AD6"/>
    </sheetView>
  </sheetViews>
  <sheetFormatPr baseColWidth="10" defaultRowHeight="14.5"/>
  <cols>
    <col min="2" max="2" width="41.453125" style="85" customWidth="1"/>
    <col min="3" max="3" width="76.1796875" customWidth="1"/>
    <col min="4" max="4" width="10.26953125" customWidth="1"/>
    <col min="5" max="5" width="9.81640625" customWidth="1"/>
    <col min="6" max="7" width="10.81640625" customWidth="1"/>
    <col min="8" max="17" width="10.81640625" style="72" hidden="1" customWidth="1"/>
    <col min="18" max="20" width="10.81640625" style="72" customWidth="1"/>
    <col min="21" max="28" width="10.81640625" style="72"/>
    <col min="30" max="30" width="42.453125" customWidth="1"/>
  </cols>
  <sheetData>
    <row r="1" spans="2:29" ht="72.5">
      <c r="B1" s="83" t="s">
        <v>644</v>
      </c>
      <c r="F1" s="40"/>
      <c r="G1" s="40"/>
      <c r="H1" s="129" t="s">
        <v>649</v>
      </c>
      <c r="I1" s="129"/>
      <c r="J1" s="129" t="s">
        <v>1835</v>
      </c>
      <c r="K1" s="129"/>
      <c r="L1" s="129"/>
      <c r="M1" s="129" t="s">
        <v>576</v>
      </c>
      <c r="N1" s="129" t="s">
        <v>1836</v>
      </c>
      <c r="O1" s="129" t="s">
        <v>1428</v>
      </c>
      <c r="P1" s="129"/>
      <c r="Q1" s="129"/>
      <c r="R1" s="129"/>
      <c r="S1" s="129"/>
      <c r="T1" s="129"/>
      <c r="U1" s="129" t="s">
        <v>1973</v>
      </c>
      <c r="V1" s="129"/>
      <c r="W1" s="129" t="s">
        <v>2153</v>
      </c>
      <c r="X1" s="129" t="s">
        <v>2154</v>
      </c>
      <c r="Y1" s="129" t="s">
        <v>2196</v>
      </c>
      <c r="Z1" s="129"/>
      <c r="AA1" s="129" t="s">
        <v>1974</v>
      </c>
      <c r="AB1" s="129"/>
    </row>
    <row r="2" spans="2:29">
      <c r="C2" s="119" t="s">
        <v>822</v>
      </c>
      <c r="D2" t="s">
        <v>2152</v>
      </c>
    </row>
    <row r="3" spans="2:29" ht="15">
      <c r="B3" s="84" t="s">
        <v>433</v>
      </c>
      <c r="C3" s="4" t="s">
        <v>435</v>
      </c>
      <c r="D3" s="88"/>
      <c r="I3" s="72" t="s">
        <v>605</v>
      </c>
      <c r="J3" s="72" t="s">
        <v>779</v>
      </c>
      <c r="N3" s="72" t="s">
        <v>779</v>
      </c>
      <c r="O3" s="72" t="s">
        <v>605</v>
      </c>
      <c r="U3" s="72" t="s">
        <v>605</v>
      </c>
    </row>
    <row r="4" spans="2:29" ht="15">
      <c r="B4" s="84" t="s">
        <v>434</v>
      </c>
      <c r="C4" s="4" t="s">
        <v>436</v>
      </c>
      <c r="D4" s="88" t="s">
        <v>1796</v>
      </c>
      <c r="E4" t="s">
        <v>1794</v>
      </c>
      <c r="F4" t="s">
        <v>8</v>
      </c>
      <c r="G4" t="s">
        <v>18</v>
      </c>
      <c r="H4" s="74" t="s">
        <v>778</v>
      </c>
      <c r="I4" s="74" t="s">
        <v>843</v>
      </c>
      <c r="J4" s="75" t="s">
        <v>606</v>
      </c>
      <c r="K4" s="79" t="s">
        <v>1610</v>
      </c>
      <c r="L4" s="74" t="s">
        <v>1549</v>
      </c>
      <c r="M4" s="75" t="s">
        <v>607</v>
      </c>
      <c r="N4" s="75" t="s">
        <v>609</v>
      </c>
      <c r="O4" s="75" t="s">
        <v>1465</v>
      </c>
      <c r="P4" s="75" t="s">
        <v>1602</v>
      </c>
      <c r="Q4" s="75" t="s">
        <v>1605</v>
      </c>
      <c r="R4" s="75" t="s">
        <v>1606</v>
      </c>
      <c r="S4" s="75" t="s">
        <v>1608</v>
      </c>
      <c r="T4" s="75" t="s">
        <v>1613</v>
      </c>
      <c r="U4" s="75" t="s">
        <v>1615</v>
      </c>
      <c r="V4" s="75" t="s">
        <v>1766</v>
      </c>
      <c r="W4" s="75" t="s">
        <v>2047</v>
      </c>
      <c r="X4" s="75" t="s">
        <v>2151</v>
      </c>
      <c r="Y4" s="75" t="s">
        <v>2195</v>
      </c>
      <c r="Z4" s="75"/>
      <c r="AA4" s="75"/>
      <c r="AB4" s="75"/>
      <c r="AC4" s="75"/>
    </row>
    <row r="5" spans="2:29" ht="15">
      <c r="B5" s="99"/>
      <c r="C5" s="100"/>
      <c r="D5" s="88"/>
      <c r="F5" s="125" t="s">
        <v>1598</v>
      </c>
      <c r="H5" s="76"/>
      <c r="I5" s="76"/>
      <c r="J5" s="77"/>
      <c r="K5" s="78" t="s">
        <v>1603</v>
      </c>
      <c r="L5" s="76"/>
      <c r="M5" s="77"/>
      <c r="N5" s="77"/>
      <c r="O5" s="77"/>
      <c r="P5" s="78" t="s">
        <v>1603</v>
      </c>
      <c r="Q5" s="78" t="s">
        <v>1604</v>
      </c>
      <c r="R5" s="78" t="s">
        <v>1607</v>
      </c>
      <c r="S5" s="78" t="s">
        <v>1609</v>
      </c>
      <c r="T5" s="78" t="s">
        <v>1607</v>
      </c>
      <c r="U5" s="78"/>
      <c r="V5" s="78"/>
      <c r="W5" s="78"/>
      <c r="X5" s="78"/>
      <c r="Y5" s="78"/>
      <c r="Z5" s="78"/>
      <c r="AA5" s="78"/>
      <c r="AB5" s="77"/>
    </row>
    <row r="6" spans="2:29" ht="15.5">
      <c r="B6" s="101" t="s">
        <v>787</v>
      </c>
      <c r="C6" s="102" t="s">
        <v>786</v>
      </c>
      <c r="D6" s="89"/>
      <c r="F6" t="s">
        <v>1806</v>
      </c>
      <c r="H6" s="72" t="s">
        <v>605</v>
      </c>
      <c r="I6" s="72" t="s">
        <v>840</v>
      </c>
      <c r="AA6" s="72" t="s">
        <v>605</v>
      </c>
    </row>
    <row r="7" spans="2:29" ht="15.5">
      <c r="B7" s="101" t="s">
        <v>839</v>
      </c>
      <c r="C7" s="102" t="s">
        <v>838</v>
      </c>
      <c r="D7" s="89"/>
      <c r="F7" t="s">
        <v>1806</v>
      </c>
      <c r="I7" s="72" t="s">
        <v>605</v>
      </c>
      <c r="AA7" s="72" t="s">
        <v>605</v>
      </c>
    </row>
    <row r="8" spans="2:29" ht="15.5">
      <c r="B8" s="101" t="s">
        <v>781</v>
      </c>
      <c r="C8" s="102" t="s">
        <v>780</v>
      </c>
      <c r="D8" s="89"/>
      <c r="F8" t="s">
        <v>1806</v>
      </c>
      <c r="H8" s="72" t="s">
        <v>605</v>
      </c>
      <c r="I8" s="72" t="s">
        <v>840</v>
      </c>
      <c r="U8" s="72" t="s">
        <v>605</v>
      </c>
      <c r="AA8" s="72" t="s">
        <v>605</v>
      </c>
    </row>
    <row r="9" spans="2:29" ht="26">
      <c r="B9" s="101" t="s">
        <v>783</v>
      </c>
      <c r="C9" s="102" t="s">
        <v>782</v>
      </c>
      <c r="D9" s="89"/>
      <c r="F9" t="s">
        <v>1806</v>
      </c>
      <c r="H9" s="72" t="s">
        <v>605</v>
      </c>
      <c r="I9" s="72" t="s">
        <v>840</v>
      </c>
      <c r="AA9" s="72" t="s">
        <v>605</v>
      </c>
    </row>
    <row r="10" spans="2:29" ht="15.5">
      <c r="B10" s="101" t="s">
        <v>841</v>
      </c>
      <c r="C10" s="102" t="s">
        <v>842</v>
      </c>
      <c r="D10" s="89"/>
      <c r="F10" t="s">
        <v>1806</v>
      </c>
      <c r="I10" s="72" t="s">
        <v>605</v>
      </c>
      <c r="AA10" s="72" t="s">
        <v>605</v>
      </c>
    </row>
    <row r="11" spans="2:29" ht="15.5">
      <c r="B11" s="101" t="s">
        <v>789</v>
      </c>
      <c r="C11" s="102" t="s">
        <v>788</v>
      </c>
      <c r="D11" s="89"/>
      <c r="F11" t="s">
        <v>1807</v>
      </c>
      <c r="H11" s="72" t="s">
        <v>605</v>
      </c>
    </row>
    <row r="12" spans="2:29" ht="15.5">
      <c r="B12" s="101" t="s">
        <v>785</v>
      </c>
      <c r="C12" s="103" t="s">
        <v>784</v>
      </c>
      <c r="D12" s="90"/>
      <c r="F12" t="s">
        <v>1806</v>
      </c>
      <c r="H12" s="72" t="s">
        <v>605</v>
      </c>
      <c r="I12" s="72" t="s">
        <v>840</v>
      </c>
      <c r="U12" s="72" t="s">
        <v>840</v>
      </c>
      <c r="AA12" s="72" t="s">
        <v>605</v>
      </c>
    </row>
    <row r="13" spans="2:29" ht="26">
      <c r="B13" s="101" t="s">
        <v>791</v>
      </c>
      <c r="C13" s="103" t="s">
        <v>790</v>
      </c>
      <c r="D13" s="90"/>
      <c r="H13" s="72" t="s">
        <v>605</v>
      </c>
    </row>
    <row r="14" spans="2:29" ht="26">
      <c r="B14" s="101" t="s">
        <v>793</v>
      </c>
      <c r="C14" s="102" t="s">
        <v>792</v>
      </c>
      <c r="D14" s="89"/>
      <c r="F14" t="s">
        <v>1806</v>
      </c>
      <c r="H14" s="72" t="s">
        <v>605</v>
      </c>
    </row>
    <row r="15" spans="2:29" ht="15.5">
      <c r="B15" s="101"/>
      <c r="C15" s="102" t="s">
        <v>777</v>
      </c>
      <c r="D15" s="89"/>
      <c r="F15" t="s">
        <v>1806</v>
      </c>
      <c r="H15" s="72" t="s">
        <v>605</v>
      </c>
    </row>
    <row r="16" spans="2:29" ht="15.5">
      <c r="B16" s="101" t="s">
        <v>795</v>
      </c>
      <c r="C16" s="103" t="s">
        <v>794</v>
      </c>
      <c r="D16" s="90"/>
      <c r="F16" t="s">
        <v>1807</v>
      </c>
      <c r="H16" s="72" t="s">
        <v>605</v>
      </c>
    </row>
    <row r="17" spans="2:14" ht="15.5">
      <c r="B17" s="101" t="s">
        <v>796</v>
      </c>
      <c r="C17" s="102" t="s">
        <v>1799</v>
      </c>
      <c r="D17" s="89"/>
      <c r="E17" t="s">
        <v>1832</v>
      </c>
      <c r="H17" s="72" t="s">
        <v>605</v>
      </c>
    </row>
    <row r="18" spans="2:14" ht="15.5">
      <c r="B18" s="101" t="s">
        <v>798</v>
      </c>
      <c r="C18" s="102" t="s">
        <v>797</v>
      </c>
      <c r="D18" s="89"/>
      <c r="F18" t="s">
        <v>1806</v>
      </c>
      <c r="H18" s="72" t="s">
        <v>605</v>
      </c>
    </row>
    <row r="19" spans="2:14" ht="15.5">
      <c r="B19" s="101" t="s">
        <v>800</v>
      </c>
      <c r="C19" s="103" t="s">
        <v>799</v>
      </c>
      <c r="D19" s="90"/>
      <c r="F19" t="s">
        <v>1806</v>
      </c>
      <c r="H19" s="72" t="s">
        <v>605</v>
      </c>
    </row>
    <row r="20" spans="2:14" ht="15.5">
      <c r="B20" s="101" t="s">
        <v>802</v>
      </c>
      <c r="C20" s="102" t="s">
        <v>1800</v>
      </c>
      <c r="D20" s="89"/>
      <c r="E20" t="s">
        <v>605</v>
      </c>
      <c r="H20" s="72" t="s">
        <v>605</v>
      </c>
    </row>
    <row r="21" spans="2:14" ht="15.5">
      <c r="B21" s="101" t="s">
        <v>801</v>
      </c>
      <c r="C21" s="102" t="s">
        <v>1801</v>
      </c>
      <c r="D21" s="89"/>
      <c r="E21" t="s">
        <v>605</v>
      </c>
      <c r="H21" s="72" t="s">
        <v>605</v>
      </c>
    </row>
    <row r="22" spans="2:14" ht="15.5">
      <c r="B22" s="101" t="s">
        <v>804</v>
      </c>
      <c r="C22" s="103" t="s">
        <v>803</v>
      </c>
      <c r="D22" s="90"/>
      <c r="F22" t="s">
        <v>117</v>
      </c>
      <c r="H22" s="72" t="s">
        <v>605</v>
      </c>
    </row>
    <row r="23" spans="2:14" ht="15.5">
      <c r="B23" s="101" t="s">
        <v>475</v>
      </c>
      <c r="C23" s="102" t="s">
        <v>805</v>
      </c>
      <c r="D23" s="89"/>
      <c r="E23" t="s">
        <v>605</v>
      </c>
      <c r="H23" s="72" t="s">
        <v>605</v>
      </c>
    </row>
    <row r="24" spans="2:14" ht="26">
      <c r="B24" s="101" t="s">
        <v>807</v>
      </c>
      <c r="C24" s="102" t="s">
        <v>806</v>
      </c>
      <c r="D24" s="89"/>
      <c r="E24" t="s">
        <v>605</v>
      </c>
      <c r="H24" s="72" t="s">
        <v>605</v>
      </c>
    </row>
    <row r="25" spans="2:14" ht="26">
      <c r="B25" s="101" t="s">
        <v>809</v>
      </c>
      <c r="C25" s="103" t="s">
        <v>808</v>
      </c>
      <c r="D25" s="90"/>
      <c r="E25" t="s">
        <v>605</v>
      </c>
      <c r="H25" s="72" t="s">
        <v>605</v>
      </c>
    </row>
    <row r="26" spans="2:14" ht="15.5">
      <c r="B26" s="101" t="s">
        <v>811</v>
      </c>
      <c r="C26" s="102" t="s">
        <v>810</v>
      </c>
      <c r="D26" s="89"/>
      <c r="E26" t="s">
        <v>605</v>
      </c>
      <c r="H26" s="72" t="s">
        <v>605</v>
      </c>
    </row>
    <row r="27" spans="2:14" ht="15.5">
      <c r="B27" s="101" t="s">
        <v>813</v>
      </c>
      <c r="C27" s="102" t="s">
        <v>812</v>
      </c>
      <c r="D27" s="89"/>
      <c r="F27" t="s">
        <v>117</v>
      </c>
      <c r="H27" s="72" t="s">
        <v>605</v>
      </c>
    </row>
    <row r="28" spans="2:14" ht="26">
      <c r="B28" s="101" t="s">
        <v>815</v>
      </c>
      <c r="C28" s="103" t="s">
        <v>814</v>
      </c>
      <c r="D28" s="90"/>
      <c r="E28" t="s">
        <v>605</v>
      </c>
      <c r="H28" s="72" t="s">
        <v>605</v>
      </c>
    </row>
    <row r="29" spans="2:14" ht="15.5">
      <c r="B29" s="101" t="s">
        <v>817</v>
      </c>
      <c r="C29" s="102" t="s">
        <v>816</v>
      </c>
      <c r="D29" s="89"/>
      <c r="F29" t="s">
        <v>117</v>
      </c>
      <c r="H29" s="72" t="s">
        <v>605</v>
      </c>
    </row>
    <row r="30" spans="2:14" ht="15.5">
      <c r="B30" s="101" t="s">
        <v>819</v>
      </c>
      <c r="C30" s="102" t="s">
        <v>818</v>
      </c>
      <c r="D30" s="89"/>
      <c r="E30" t="s">
        <v>605</v>
      </c>
      <c r="H30" s="72" t="s">
        <v>605</v>
      </c>
    </row>
    <row r="31" spans="2:14" ht="15.5">
      <c r="B31" s="101" t="s">
        <v>821</v>
      </c>
      <c r="C31" s="103" t="s">
        <v>820</v>
      </c>
      <c r="D31" s="90"/>
      <c r="E31" t="s">
        <v>605</v>
      </c>
      <c r="H31" s="72" t="s">
        <v>605</v>
      </c>
    </row>
    <row r="32" spans="2:14" ht="15.5">
      <c r="B32" s="101" t="s">
        <v>437</v>
      </c>
      <c r="C32" s="102" t="s">
        <v>438</v>
      </c>
      <c r="D32" s="89" t="s">
        <v>1797</v>
      </c>
      <c r="J32" s="72" t="s">
        <v>605</v>
      </c>
      <c r="L32" s="72" t="s">
        <v>605</v>
      </c>
      <c r="M32" s="72" t="s">
        <v>605</v>
      </c>
      <c r="N32" s="72" t="s">
        <v>605</v>
      </c>
    </row>
    <row r="33" spans="2:30" ht="15.5">
      <c r="B33" s="101" t="s">
        <v>439</v>
      </c>
      <c r="C33" s="102" t="s">
        <v>440</v>
      </c>
      <c r="D33" s="89"/>
      <c r="F33" t="s">
        <v>1806</v>
      </c>
      <c r="J33" s="72" t="s">
        <v>605</v>
      </c>
      <c r="L33" s="72" t="s">
        <v>605</v>
      </c>
      <c r="M33" s="72" t="s">
        <v>605</v>
      </c>
      <c r="N33" s="72" t="s">
        <v>605</v>
      </c>
      <c r="AD33" s="36"/>
    </row>
    <row r="34" spans="2:30" ht="15.5">
      <c r="B34" s="101" t="s">
        <v>441</v>
      </c>
      <c r="C34" s="103" t="s">
        <v>442</v>
      </c>
      <c r="D34" s="90" t="s">
        <v>1797</v>
      </c>
      <c r="J34" s="72" t="s">
        <v>605</v>
      </c>
      <c r="L34" s="72" t="s">
        <v>605</v>
      </c>
      <c r="M34" s="72" t="s">
        <v>605</v>
      </c>
      <c r="N34" s="72" t="s">
        <v>605</v>
      </c>
    </row>
    <row r="35" spans="2:30" ht="15.5">
      <c r="B35" s="101" t="s">
        <v>443</v>
      </c>
      <c r="C35" s="103" t="s">
        <v>444</v>
      </c>
      <c r="D35" s="90"/>
      <c r="F35" t="s">
        <v>1806</v>
      </c>
      <c r="H35" s="72" t="s">
        <v>605</v>
      </c>
      <c r="J35" s="72" t="s">
        <v>605</v>
      </c>
      <c r="L35" s="72" t="s">
        <v>605</v>
      </c>
      <c r="M35" s="72" t="s">
        <v>605</v>
      </c>
      <c r="N35" s="72" t="s">
        <v>605</v>
      </c>
    </row>
    <row r="36" spans="2:30" ht="15.5">
      <c r="B36" s="101" t="s">
        <v>445</v>
      </c>
      <c r="C36" s="103" t="s">
        <v>446</v>
      </c>
      <c r="D36" s="90" t="s">
        <v>1797</v>
      </c>
      <c r="J36" s="72" t="s">
        <v>605</v>
      </c>
      <c r="L36" s="72" t="s">
        <v>605</v>
      </c>
      <c r="M36" s="72" t="s">
        <v>605</v>
      </c>
      <c r="N36" s="72" t="s">
        <v>605</v>
      </c>
    </row>
    <row r="37" spans="2:30" ht="15.5">
      <c r="B37" s="101" t="s">
        <v>447</v>
      </c>
      <c r="C37" s="103" t="s">
        <v>448</v>
      </c>
      <c r="D37" s="90"/>
      <c r="E37" s="3"/>
      <c r="F37" t="s">
        <v>1806</v>
      </c>
      <c r="G37" s="3"/>
      <c r="H37" s="73" t="s">
        <v>779</v>
      </c>
      <c r="I37" s="73"/>
      <c r="J37" s="72" t="s">
        <v>605</v>
      </c>
      <c r="L37" s="72" t="s">
        <v>605</v>
      </c>
      <c r="M37" s="72" t="s">
        <v>605</v>
      </c>
      <c r="N37" s="72" t="s">
        <v>605</v>
      </c>
    </row>
    <row r="38" spans="2:30" ht="15.5">
      <c r="B38" s="101" t="s">
        <v>449</v>
      </c>
      <c r="C38" s="103" t="s">
        <v>450</v>
      </c>
      <c r="D38" s="90" t="s">
        <v>1797</v>
      </c>
      <c r="J38" s="72" t="s">
        <v>605</v>
      </c>
      <c r="L38" s="72" t="s">
        <v>605</v>
      </c>
      <c r="M38" s="72" t="s">
        <v>605</v>
      </c>
      <c r="N38" s="72" t="s">
        <v>605</v>
      </c>
    </row>
    <row r="39" spans="2:30" ht="15.5">
      <c r="B39" s="101" t="s">
        <v>451</v>
      </c>
      <c r="C39" s="103" t="s">
        <v>452</v>
      </c>
      <c r="D39" s="90"/>
      <c r="F39" t="s">
        <v>1806</v>
      </c>
      <c r="J39" s="72" t="s">
        <v>605</v>
      </c>
      <c r="L39" s="72" t="s">
        <v>605</v>
      </c>
      <c r="M39" s="72" t="s">
        <v>605</v>
      </c>
      <c r="N39" s="72" t="s">
        <v>605</v>
      </c>
    </row>
    <row r="40" spans="2:30" ht="52">
      <c r="B40" s="101" t="s">
        <v>453</v>
      </c>
      <c r="C40" s="103" t="s">
        <v>454</v>
      </c>
      <c r="D40" s="90" t="s">
        <v>1797</v>
      </c>
      <c r="I40" s="72" t="s">
        <v>605</v>
      </c>
      <c r="J40" s="72" t="s">
        <v>605</v>
      </c>
      <c r="L40" s="72" t="s">
        <v>605</v>
      </c>
      <c r="M40" s="72" t="s">
        <v>605</v>
      </c>
      <c r="N40" s="72" t="s">
        <v>605</v>
      </c>
    </row>
    <row r="41" spans="2:30" ht="39">
      <c r="B41" s="101" t="s">
        <v>455</v>
      </c>
      <c r="C41" s="103" t="s">
        <v>456</v>
      </c>
      <c r="D41" s="90"/>
      <c r="F41" t="s">
        <v>1806</v>
      </c>
      <c r="I41" s="72" t="s">
        <v>605</v>
      </c>
      <c r="J41" s="72" t="s">
        <v>605</v>
      </c>
      <c r="L41" s="72" t="s">
        <v>605</v>
      </c>
      <c r="M41" s="72" t="s">
        <v>605</v>
      </c>
      <c r="N41" s="72" t="s">
        <v>605</v>
      </c>
      <c r="AA41" s="72" t="s">
        <v>605</v>
      </c>
    </row>
    <row r="42" spans="2:30" ht="26">
      <c r="B42" s="101" t="s">
        <v>457</v>
      </c>
      <c r="C42" s="103" t="s">
        <v>458</v>
      </c>
      <c r="D42" s="90" t="s">
        <v>1797</v>
      </c>
      <c r="J42" s="72" t="s">
        <v>605</v>
      </c>
      <c r="L42" s="72" t="s">
        <v>605</v>
      </c>
      <c r="M42" s="72" t="s">
        <v>605</v>
      </c>
      <c r="N42" s="72" t="s">
        <v>605</v>
      </c>
    </row>
    <row r="43" spans="2:30" ht="15.5">
      <c r="B43" s="101" t="s">
        <v>459</v>
      </c>
      <c r="C43" s="103" t="s">
        <v>460</v>
      </c>
      <c r="D43" s="90"/>
      <c r="J43" s="72" t="s">
        <v>605</v>
      </c>
      <c r="L43" s="72" t="s">
        <v>605</v>
      </c>
      <c r="M43" s="72" t="s">
        <v>605</v>
      </c>
      <c r="N43" s="72" t="s">
        <v>605</v>
      </c>
    </row>
    <row r="44" spans="2:30" ht="15.5">
      <c r="B44" s="101" t="s">
        <v>461</v>
      </c>
      <c r="C44" s="103" t="s">
        <v>462</v>
      </c>
      <c r="D44" s="90" t="s">
        <v>1797</v>
      </c>
      <c r="J44" s="72" t="s">
        <v>605</v>
      </c>
      <c r="L44" s="72" t="s">
        <v>605</v>
      </c>
      <c r="M44" s="72" t="s">
        <v>605</v>
      </c>
      <c r="N44" s="72" t="s">
        <v>605</v>
      </c>
    </row>
    <row r="45" spans="2:30" ht="15.5">
      <c r="B45" s="101" t="s">
        <v>463</v>
      </c>
      <c r="C45" s="103" t="s">
        <v>464</v>
      </c>
      <c r="D45" s="90"/>
      <c r="E45" t="s">
        <v>605</v>
      </c>
      <c r="J45" s="72" t="s">
        <v>605</v>
      </c>
      <c r="L45" s="72" t="s">
        <v>605</v>
      </c>
      <c r="M45" s="72" t="s">
        <v>605</v>
      </c>
      <c r="N45" s="72" t="s">
        <v>605</v>
      </c>
    </row>
    <row r="46" spans="2:30" ht="26">
      <c r="B46" s="101" t="s">
        <v>465</v>
      </c>
      <c r="C46" s="103" t="s">
        <v>466</v>
      </c>
      <c r="D46" s="90" t="s">
        <v>1797</v>
      </c>
      <c r="J46" s="72" t="s">
        <v>605</v>
      </c>
      <c r="L46" s="72" t="s">
        <v>605</v>
      </c>
      <c r="M46" s="72" t="s">
        <v>605</v>
      </c>
      <c r="N46" s="72" t="s">
        <v>605</v>
      </c>
    </row>
    <row r="47" spans="2:30" ht="26">
      <c r="B47" s="101" t="s">
        <v>467</v>
      </c>
      <c r="C47" s="103" t="s">
        <v>468</v>
      </c>
      <c r="D47" s="90"/>
      <c r="E47" t="s">
        <v>605</v>
      </c>
      <c r="F47" t="s">
        <v>117</v>
      </c>
      <c r="J47" s="72" t="s">
        <v>605</v>
      </c>
      <c r="L47" s="72" t="s">
        <v>605</v>
      </c>
      <c r="M47" s="72" t="s">
        <v>605</v>
      </c>
      <c r="N47" s="72" t="s">
        <v>605</v>
      </c>
    </row>
    <row r="48" spans="2:30" ht="15.5">
      <c r="B48" s="101" t="s">
        <v>469</v>
      </c>
      <c r="C48" s="103" t="s">
        <v>470</v>
      </c>
      <c r="D48" s="90" t="s">
        <v>1797</v>
      </c>
      <c r="J48" s="72" t="s">
        <v>605</v>
      </c>
      <c r="L48" s="72" t="s">
        <v>605</v>
      </c>
      <c r="M48" s="72" t="s">
        <v>605</v>
      </c>
      <c r="N48" s="72" t="s">
        <v>605</v>
      </c>
    </row>
    <row r="49" spans="2:14" ht="15.5">
      <c r="B49" s="101" t="s">
        <v>471</v>
      </c>
      <c r="C49" s="103" t="s">
        <v>472</v>
      </c>
      <c r="D49" s="90"/>
      <c r="E49" t="s">
        <v>605</v>
      </c>
      <c r="F49" t="s">
        <v>117</v>
      </c>
      <c r="J49" s="72" t="s">
        <v>605</v>
      </c>
      <c r="L49" s="72" t="s">
        <v>605</v>
      </c>
      <c r="M49" s="72" t="s">
        <v>605</v>
      </c>
      <c r="N49" s="72" t="s">
        <v>605</v>
      </c>
    </row>
    <row r="50" spans="2:14" ht="15.5">
      <c r="B50" s="101" t="s">
        <v>473</v>
      </c>
      <c r="C50" s="103" t="s">
        <v>474</v>
      </c>
      <c r="D50" s="90" t="s">
        <v>1797</v>
      </c>
      <c r="J50" s="72" t="s">
        <v>605</v>
      </c>
      <c r="L50" s="72" t="s">
        <v>605</v>
      </c>
      <c r="M50" s="72" t="s">
        <v>605</v>
      </c>
      <c r="N50" s="72" t="s">
        <v>605</v>
      </c>
    </row>
    <row r="51" spans="2:14" ht="15.5">
      <c r="B51" s="101" t="s">
        <v>475</v>
      </c>
      <c r="C51" s="103" t="s">
        <v>476</v>
      </c>
      <c r="D51" s="90"/>
      <c r="E51" t="s">
        <v>605</v>
      </c>
      <c r="F51" t="s">
        <v>117</v>
      </c>
      <c r="J51" s="72" t="s">
        <v>605</v>
      </c>
      <c r="L51" s="72" t="s">
        <v>605</v>
      </c>
      <c r="M51" s="72" t="s">
        <v>605</v>
      </c>
      <c r="N51" s="72" t="s">
        <v>605</v>
      </c>
    </row>
    <row r="52" spans="2:14" ht="26">
      <c r="B52" s="101" t="s">
        <v>477</v>
      </c>
      <c r="C52" s="103" t="s">
        <v>478</v>
      </c>
      <c r="D52" s="90" t="s">
        <v>1797</v>
      </c>
      <c r="J52" s="72" t="s">
        <v>605</v>
      </c>
      <c r="L52" s="72" t="s">
        <v>605</v>
      </c>
      <c r="M52" s="72" t="s">
        <v>605</v>
      </c>
      <c r="N52" s="72" t="s">
        <v>605</v>
      </c>
    </row>
    <row r="53" spans="2:14" ht="26">
      <c r="B53" s="101" t="s">
        <v>479</v>
      </c>
      <c r="C53" s="103" t="s">
        <v>480</v>
      </c>
      <c r="D53" s="90"/>
      <c r="E53" t="s">
        <v>605</v>
      </c>
      <c r="F53" t="s">
        <v>1806</v>
      </c>
      <c r="J53" s="72" t="s">
        <v>605</v>
      </c>
      <c r="L53" s="72" t="s">
        <v>605</v>
      </c>
      <c r="M53" s="72" t="s">
        <v>605</v>
      </c>
      <c r="N53" s="72" t="s">
        <v>605</v>
      </c>
    </row>
    <row r="54" spans="2:14" ht="15.5">
      <c r="B54" s="101" t="s">
        <v>481</v>
      </c>
      <c r="C54" s="103" t="s">
        <v>482</v>
      </c>
      <c r="D54" s="90" t="s">
        <v>1797</v>
      </c>
      <c r="J54" s="72" t="s">
        <v>605</v>
      </c>
      <c r="L54" s="72" t="s">
        <v>605</v>
      </c>
      <c r="M54" s="72" t="s">
        <v>605</v>
      </c>
      <c r="N54" s="72" t="s">
        <v>605</v>
      </c>
    </row>
    <row r="55" spans="2:14" ht="15.5">
      <c r="B55" s="101" t="s">
        <v>483</v>
      </c>
      <c r="C55" s="103" t="s">
        <v>484</v>
      </c>
      <c r="D55" s="90"/>
      <c r="E55" t="s">
        <v>605</v>
      </c>
      <c r="F55" t="s">
        <v>117</v>
      </c>
      <c r="J55" s="72" t="s">
        <v>605</v>
      </c>
      <c r="L55" s="72" t="s">
        <v>605</v>
      </c>
      <c r="M55" s="72" t="s">
        <v>605</v>
      </c>
      <c r="N55" s="72" t="s">
        <v>605</v>
      </c>
    </row>
    <row r="56" spans="2:14" ht="15.5">
      <c r="B56" s="101" t="s">
        <v>485</v>
      </c>
      <c r="C56" s="103" t="s">
        <v>486</v>
      </c>
      <c r="D56" s="90" t="s">
        <v>1797</v>
      </c>
      <c r="J56" s="72" t="s">
        <v>605</v>
      </c>
      <c r="L56" s="72" t="s">
        <v>605</v>
      </c>
      <c r="M56" s="72" t="s">
        <v>605</v>
      </c>
      <c r="N56" s="72" t="s">
        <v>605</v>
      </c>
    </row>
    <row r="57" spans="2:14" ht="15.5">
      <c r="B57" s="101" t="s">
        <v>487</v>
      </c>
      <c r="C57" s="103" t="s">
        <v>488</v>
      </c>
      <c r="D57" s="90"/>
      <c r="F57" t="s">
        <v>1806</v>
      </c>
      <c r="J57" s="72" t="s">
        <v>605</v>
      </c>
      <c r="L57" s="72" t="s">
        <v>605</v>
      </c>
      <c r="M57" s="72" t="s">
        <v>605</v>
      </c>
      <c r="N57" s="72" t="s">
        <v>605</v>
      </c>
    </row>
    <row r="58" spans="2:14" ht="15.5">
      <c r="B58" s="101" t="s">
        <v>489</v>
      </c>
      <c r="C58" s="103" t="s">
        <v>490</v>
      </c>
      <c r="D58" s="90" t="s">
        <v>1797</v>
      </c>
      <c r="J58" s="72" t="s">
        <v>605</v>
      </c>
      <c r="L58" s="72" t="s">
        <v>605</v>
      </c>
      <c r="M58" s="72" t="s">
        <v>605</v>
      </c>
      <c r="N58" s="72" t="s">
        <v>605</v>
      </c>
    </row>
    <row r="59" spans="2:14" ht="15.5">
      <c r="B59" s="101" t="s">
        <v>491</v>
      </c>
      <c r="C59" s="103" t="s">
        <v>492</v>
      </c>
      <c r="D59" s="90"/>
      <c r="F59" t="s">
        <v>1806</v>
      </c>
      <c r="J59" s="72" t="s">
        <v>605</v>
      </c>
      <c r="L59" s="72" t="s">
        <v>605</v>
      </c>
      <c r="M59" s="72" t="s">
        <v>605</v>
      </c>
      <c r="N59" s="72" t="s">
        <v>605</v>
      </c>
    </row>
    <row r="60" spans="2:14" ht="14.5" customHeight="1">
      <c r="B60" s="101" t="s">
        <v>493</v>
      </c>
      <c r="C60" s="104" t="s">
        <v>494</v>
      </c>
      <c r="D60" s="91" t="s">
        <v>1797</v>
      </c>
      <c r="J60" s="72" t="s">
        <v>605</v>
      </c>
      <c r="L60" s="72" t="s">
        <v>605</v>
      </c>
      <c r="M60" s="72" t="s">
        <v>605</v>
      </c>
      <c r="N60" s="72" t="s">
        <v>605</v>
      </c>
    </row>
    <row r="61" spans="2:14" ht="14.5" customHeight="1">
      <c r="B61" s="101" t="s">
        <v>495</v>
      </c>
      <c r="C61" s="104" t="s">
        <v>496</v>
      </c>
      <c r="D61" s="91"/>
      <c r="F61" t="s">
        <v>1806</v>
      </c>
      <c r="J61" s="72" t="s">
        <v>605</v>
      </c>
      <c r="L61" s="72" t="s">
        <v>605</v>
      </c>
      <c r="M61" s="72" t="s">
        <v>605</v>
      </c>
      <c r="N61" s="72" t="s">
        <v>605</v>
      </c>
    </row>
    <row r="62" spans="2:14" ht="15.5">
      <c r="B62" s="101" t="s">
        <v>497</v>
      </c>
      <c r="C62" s="103" t="s">
        <v>498</v>
      </c>
      <c r="D62" s="90" t="s">
        <v>1797</v>
      </c>
      <c r="J62" s="72" t="s">
        <v>605</v>
      </c>
      <c r="L62" s="72" t="s">
        <v>605</v>
      </c>
      <c r="M62" s="72" t="s">
        <v>605</v>
      </c>
      <c r="N62" s="72" t="s">
        <v>605</v>
      </c>
    </row>
    <row r="63" spans="2:14" ht="15.5">
      <c r="B63" s="101" t="s">
        <v>499</v>
      </c>
      <c r="C63" s="103" t="s">
        <v>500</v>
      </c>
      <c r="D63" s="90"/>
      <c r="F63" t="s">
        <v>117</v>
      </c>
      <c r="H63" s="72" t="s">
        <v>605</v>
      </c>
      <c r="J63" s="72" t="s">
        <v>605</v>
      </c>
      <c r="L63" s="72" t="s">
        <v>605</v>
      </c>
      <c r="M63" s="72" t="s">
        <v>605</v>
      </c>
      <c r="N63" s="72" t="s">
        <v>605</v>
      </c>
    </row>
    <row r="64" spans="2:14" ht="15.5">
      <c r="B64" s="105" t="s">
        <v>501</v>
      </c>
      <c r="C64" s="106" t="s">
        <v>503</v>
      </c>
      <c r="D64" s="92" t="s">
        <v>1797</v>
      </c>
      <c r="J64" s="72" t="s">
        <v>605</v>
      </c>
      <c r="L64" s="72" t="s">
        <v>605</v>
      </c>
      <c r="M64" s="72" t="s">
        <v>605</v>
      </c>
      <c r="N64" s="72" t="s">
        <v>605</v>
      </c>
    </row>
    <row r="65" spans="2:14" ht="15.5">
      <c r="B65" s="105" t="s">
        <v>502</v>
      </c>
      <c r="C65" s="107"/>
      <c r="D65" s="93"/>
      <c r="F65" t="s">
        <v>117</v>
      </c>
      <c r="J65" s="72" t="s">
        <v>605</v>
      </c>
      <c r="L65" s="72" t="s">
        <v>605</v>
      </c>
      <c r="M65" s="72" t="s">
        <v>605</v>
      </c>
      <c r="N65" s="72" t="s">
        <v>605</v>
      </c>
    </row>
    <row r="66" spans="2:14" ht="15.5">
      <c r="B66" s="105" t="s">
        <v>504</v>
      </c>
      <c r="C66" s="106" t="s">
        <v>506</v>
      </c>
      <c r="D66" s="92"/>
      <c r="F66" t="s">
        <v>117</v>
      </c>
      <c r="H66" s="72" t="s">
        <v>605</v>
      </c>
      <c r="J66" s="72" t="s">
        <v>605</v>
      </c>
      <c r="L66" s="72" t="s">
        <v>605</v>
      </c>
      <c r="M66" s="72" t="s">
        <v>605</v>
      </c>
      <c r="N66" s="72" t="s">
        <v>605</v>
      </c>
    </row>
    <row r="67" spans="2:14" ht="15.5">
      <c r="B67" s="105" t="s">
        <v>505</v>
      </c>
      <c r="C67" s="107"/>
      <c r="D67" s="93"/>
      <c r="F67" t="s">
        <v>117</v>
      </c>
      <c r="H67" s="72" t="s">
        <v>605</v>
      </c>
      <c r="J67" s="72" t="s">
        <v>605</v>
      </c>
      <c r="L67" s="72" t="s">
        <v>605</v>
      </c>
      <c r="M67" s="72" t="s">
        <v>605</v>
      </c>
      <c r="N67" s="72" t="s">
        <v>605</v>
      </c>
    </row>
    <row r="68" spans="2:14" ht="15.5">
      <c r="B68" s="108" t="s">
        <v>507</v>
      </c>
      <c r="C68" s="109" t="s">
        <v>508</v>
      </c>
      <c r="D68" s="94" t="s">
        <v>1797</v>
      </c>
      <c r="J68" s="72" t="s">
        <v>605</v>
      </c>
      <c r="L68" s="72" t="s">
        <v>605</v>
      </c>
      <c r="M68" s="72" t="s">
        <v>605</v>
      </c>
    </row>
    <row r="69" spans="2:14" ht="15.5">
      <c r="B69" s="108" t="s">
        <v>509</v>
      </c>
      <c r="C69" s="109" t="s">
        <v>510</v>
      </c>
      <c r="D69" s="94"/>
      <c r="F69" t="s">
        <v>117</v>
      </c>
      <c r="J69" s="72" t="s">
        <v>605</v>
      </c>
      <c r="L69" s="72" t="s">
        <v>605</v>
      </c>
      <c r="M69" s="72" t="s">
        <v>605</v>
      </c>
    </row>
    <row r="70" spans="2:14" ht="15.5">
      <c r="B70" s="108" t="s">
        <v>511</v>
      </c>
      <c r="C70" s="109" t="s">
        <v>512</v>
      </c>
      <c r="D70" s="94" t="s">
        <v>1797</v>
      </c>
      <c r="J70" s="72" t="s">
        <v>605</v>
      </c>
      <c r="L70" s="72" t="s">
        <v>605</v>
      </c>
      <c r="M70" s="72" t="s">
        <v>605</v>
      </c>
    </row>
    <row r="71" spans="2:14" ht="15.5">
      <c r="B71" s="108" t="s">
        <v>513</v>
      </c>
      <c r="C71" s="109" t="s">
        <v>514</v>
      </c>
      <c r="D71" s="94"/>
      <c r="F71" t="s">
        <v>117</v>
      </c>
      <c r="J71" s="72" t="s">
        <v>605</v>
      </c>
      <c r="L71" s="72" t="s">
        <v>605</v>
      </c>
      <c r="M71" s="72" t="s">
        <v>605</v>
      </c>
    </row>
    <row r="72" spans="2:14" ht="15.5">
      <c r="B72" s="101" t="s">
        <v>515</v>
      </c>
      <c r="C72" s="103" t="s">
        <v>516</v>
      </c>
      <c r="D72" s="90" t="s">
        <v>1797</v>
      </c>
      <c r="J72" s="72" t="s">
        <v>605</v>
      </c>
      <c r="L72" s="72" t="s">
        <v>605</v>
      </c>
      <c r="M72" s="72" t="s">
        <v>605</v>
      </c>
      <c r="N72" s="72" t="s">
        <v>605</v>
      </c>
    </row>
    <row r="73" spans="2:14" ht="15.5">
      <c r="B73" s="101" t="s">
        <v>517</v>
      </c>
      <c r="C73" s="103" t="s">
        <v>518</v>
      </c>
      <c r="D73" s="90"/>
      <c r="F73" t="s">
        <v>117</v>
      </c>
      <c r="J73" s="72" t="s">
        <v>605</v>
      </c>
      <c r="L73" s="72" t="s">
        <v>605</v>
      </c>
      <c r="M73" s="72" t="s">
        <v>605</v>
      </c>
      <c r="N73" s="72" t="s">
        <v>605</v>
      </c>
    </row>
    <row r="74" spans="2:14" ht="15.5">
      <c r="B74" s="101" t="s">
        <v>519</v>
      </c>
      <c r="C74" s="103" t="s">
        <v>520</v>
      </c>
      <c r="D74" s="90" t="s">
        <v>1797</v>
      </c>
      <c r="J74" s="72" t="s">
        <v>605</v>
      </c>
      <c r="L74" s="72" t="s">
        <v>605</v>
      </c>
      <c r="M74" s="72" t="s">
        <v>605</v>
      </c>
      <c r="N74" s="72" t="s">
        <v>605</v>
      </c>
    </row>
    <row r="75" spans="2:14" ht="15.5">
      <c r="B75" s="101" t="s">
        <v>521</v>
      </c>
      <c r="C75" s="103" t="s">
        <v>522</v>
      </c>
      <c r="D75" s="90"/>
      <c r="F75" t="s">
        <v>117</v>
      </c>
      <c r="J75" s="72" t="s">
        <v>605</v>
      </c>
      <c r="L75" s="72" t="s">
        <v>605</v>
      </c>
      <c r="M75" s="72" t="s">
        <v>605</v>
      </c>
      <c r="N75" s="72" t="s">
        <v>605</v>
      </c>
    </row>
    <row r="76" spans="2:14" ht="15.5">
      <c r="B76" s="101" t="s">
        <v>523</v>
      </c>
      <c r="C76" s="103" t="s">
        <v>524</v>
      </c>
      <c r="D76" s="90" t="s">
        <v>1797</v>
      </c>
      <c r="J76" s="72" t="s">
        <v>605</v>
      </c>
      <c r="L76" s="72" t="s">
        <v>605</v>
      </c>
      <c r="M76" s="72" t="s">
        <v>605</v>
      </c>
      <c r="N76" s="72" t="s">
        <v>605</v>
      </c>
    </row>
    <row r="77" spans="2:14" ht="15.5">
      <c r="B77" s="101" t="s">
        <v>525</v>
      </c>
      <c r="C77" s="103" t="s">
        <v>526</v>
      </c>
      <c r="D77" s="90"/>
      <c r="F77" t="s">
        <v>117</v>
      </c>
      <c r="J77" s="72" t="s">
        <v>605</v>
      </c>
      <c r="L77" s="72" t="s">
        <v>605</v>
      </c>
      <c r="M77" s="72" t="s">
        <v>605</v>
      </c>
      <c r="N77" s="72" t="s">
        <v>605</v>
      </c>
    </row>
    <row r="78" spans="2:14" ht="15.5">
      <c r="B78" s="101" t="s">
        <v>527</v>
      </c>
      <c r="C78" s="103" t="s">
        <v>528</v>
      </c>
      <c r="D78" s="90" t="s">
        <v>1797</v>
      </c>
      <c r="J78" s="72" t="s">
        <v>605</v>
      </c>
      <c r="L78" s="72" t="s">
        <v>605</v>
      </c>
      <c r="M78" s="72" t="s">
        <v>605</v>
      </c>
      <c r="N78" s="72" t="s">
        <v>605</v>
      </c>
    </row>
    <row r="79" spans="2:14" ht="15.5">
      <c r="B79" s="101" t="s">
        <v>529</v>
      </c>
      <c r="C79" s="103" t="s">
        <v>530</v>
      </c>
      <c r="D79" s="90"/>
      <c r="F79" t="s">
        <v>313</v>
      </c>
      <c r="J79" s="72" t="s">
        <v>605</v>
      </c>
      <c r="L79" s="72" t="s">
        <v>605</v>
      </c>
      <c r="M79" s="72" t="s">
        <v>605</v>
      </c>
      <c r="N79" s="72" t="s">
        <v>605</v>
      </c>
    </row>
    <row r="80" spans="2:14" ht="26">
      <c r="B80" s="101" t="s">
        <v>531</v>
      </c>
      <c r="C80" s="103" t="s">
        <v>532</v>
      </c>
      <c r="D80" s="90" t="s">
        <v>1797</v>
      </c>
      <c r="H80" s="72" t="s">
        <v>605</v>
      </c>
      <c r="J80" s="72" t="s">
        <v>605</v>
      </c>
      <c r="L80" s="72" t="s">
        <v>605</v>
      </c>
      <c r="M80" s="72" t="s">
        <v>605</v>
      </c>
      <c r="N80" s="72" t="s">
        <v>605</v>
      </c>
    </row>
    <row r="81" spans="2:14" ht="15.5">
      <c r="B81" s="101" t="s">
        <v>533</v>
      </c>
      <c r="C81" s="103" t="s">
        <v>534</v>
      </c>
      <c r="D81" s="90"/>
      <c r="F81" t="s">
        <v>18</v>
      </c>
      <c r="H81" s="72" t="s">
        <v>605</v>
      </c>
      <c r="J81" s="72" t="s">
        <v>605</v>
      </c>
      <c r="L81" s="72" t="s">
        <v>605</v>
      </c>
      <c r="M81" s="72" t="s">
        <v>605</v>
      </c>
      <c r="N81" s="72" t="s">
        <v>605</v>
      </c>
    </row>
    <row r="82" spans="2:14" ht="39">
      <c r="B82" s="108"/>
      <c r="C82" s="109" t="s">
        <v>535</v>
      </c>
      <c r="D82" s="94" t="s">
        <v>1797</v>
      </c>
      <c r="L82" s="72" t="s">
        <v>605</v>
      </c>
      <c r="M82" s="72" t="s">
        <v>605</v>
      </c>
    </row>
    <row r="83" spans="2:14" ht="39">
      <c r="B83" s="108"/>
      <c r="C83" s="109" t="s">
        <v>536</v>
      </c>
      <c r="D83" s="94"/>
      <c r="F83" t="s">
        <v>117</v>
      </c>
      <c r="L83" s="72" t="s">
        <v>605</v>
      </c>
      <c r="M83" s="72" t="s">
        <v>605</v>
      </c>
    </row>
    <row r="84" spans="2:14" ht="15.5">
      <c r="B84" s="108"/>
      <c r="C84" s="109" t="s">
        <v>537</v>
      </c>
      <c r="D84" s="94" t="s">
        <v>1797</v>
      </c>
      <c r="L84" s="72" t="s">
        <v>605</v>
      </c>
      <c r="M84" s="72" t="s">
        <v>605</v>
      </c>
    </row>
    <row r="85" spans="2:14" ht="15.5">
      <c r="B85" s="126"/>
      <c r="C85" s="109" t="s">
        <v>538</v>
      </c>
      <c r="D85" s="94"/>
      <c r="F85" s="125" t="s">
        <v>1598</v>
      </c>
      <c r="L85" s="72" t="s">
        <v>605</v>
      </c>
      <c r="M85" s="72" t="s">
        <v>605</v>
      </c>
    </row>
    <row r="86" spans="2:14" ht="26">
      <c r="B86" s="110" t="s">
        <v>564</v>
      </c>
      <c r="C86" s="111" t="s">
        <v>565</v>
      </c>
      <c r="D86" s="95" t="s">
        <v>1797</v>
      </c>
      <c r="L86" s="72" t="s">
        <v>605</v>
      </c>
      <c r="M86" s="72" t="s">
        <v>605</v>
      </c>
    </row>
    <row r="87" spans="2:14" ht="26">
      <c r="B87" s="110" t="s">
        <v>566</v>
      </c>
      <c r="C87" s="111" t="s">
        <v>567</v>
      </c>
      <c r="D87" s="95"/>
      <c r="F87" t="s">
        <v>1807</v>
      </c>
      <c r="L87" s="72" t="s">
        <v>605</v>
      </c>
      <c r="M87" s="72" t="s">
        <v>605</v>
      </c>
    </row>
    <row r="88" spans="2:14" ht="15.5">
      <c r="B88" s="108" t="s">
        <v>568</v>
      </c>
      <c r="C88" s="109" t="s">
        <v>569</v>
      </c>
      <c r="D88" s="94" t="s">
        <v>1797</v>
      </c>
      <c r="L88" s="72" t="s">
        <v>605</v>
      </c>
      <c r="M88" s="72" t="s">
        <v>605</v>
      </c>
    </row>
    <row r="89" spans="2:14" ht="15.5">
      <c r="B89" s="108" t="s">
        <v>570</v>
      </c>
      <c r="C89" s="109" t="s">
        <v>571</v>
      </c>
      <c r="D89" s="94"/>
      <c r="F89" t="s">
        <v>1807</v>
      </c>
      <c r="L89" s="72" t="s">
        <v>605</v>
      </c>
      <c r="M89" s="72" t="s">
        <v>605</v>
      </c>
    </row>
    <row r="90" spans="2:14" ht="26">
      <c r="B90" s="110"/>
      <c r="C90" s="112" t="s">
        <v>572</v>
      </c>
      <c r="D90" s="96" t="s">
        <v>1797</v>
      </c>
      <c r="L90" s="72" t="s">
        <v>605</v>
      </c>
      <c r="M90" s="72" t="s">
        <v>605</v>
      </c>
      <c r="N90" s="72" t="s">
        <v>605</v>
      </c>
    </row>
    <row r="91" spans="2:14" ht="15.5">
      <c r="B91" s="127"/>
      <c r="C91" s="112" t="s">
        <v>573</v>
      </c>
      <c r="D91" s="96"/>
      <c r="F91" t="s">
        <v>117</v>
      </c>
      <c r="L91" s="72" t="s">
        <v>605</v>
      </c>
      <c r="M91" s="72" t="s">
        <v>605</v>
      </c>
      <c r="N91" s="72" t="s">
        <v>605</v>
      </c>
    </row>
    <row r="92" spans="2:14" ht="39">
      <c r="B92" s="108"/>
      <c r="C92" s="112" t="s">
        <v>535</v>
      </c>
      <c r="D92" s="96" t="s">
        <v>1797</v>
      </c>
      <c r="L92" s="72" t="s">
        <v>605</v>
      </c>
      <c r="M92" s="72" t="s">
        <v>605</v>
      </c>
      <c r="N92" s="72" t="s">
        <v>605</v>
      </c>
    </row>
    <row r="93" spans="2:14" ht="39">
      <c r="B93" s="108"/>
      <c r="C93" s="109" t="s">
        <v>574</v>
      </c>
      <c r="D93" s="94"/>
      <c r="F93" t="s">
        <v>117</v>
      </c>
      <c r="L93" s="72" t="s">
        <v>605</v>
      </c>
      <c r="M93" s="72" t="s">
        <v>605</v>
      </c>
      <c r="N93" s="72" t="s">
        <v>605</v>
      </c>
    </row>
    <row r="94" spans="2:14" ht="15.5">
      <c r="B94" s="113" t="s">
        <v>577</v>
      </c>
      <c r="C94" s="114" t="s">
        <v>1795</v>
      </c>
      <c r="D94" s="97" t="s">
        <v>18</v>
      </c>
      <c r="E94" t="s">
        <v>18</v>
      </c>
      <c r="M94" s="72" t="s">
        <v>605</v>
      </c>
    </row>
    <row r="95" spans="2:14" ht="15.5">
      <c r="B95" s="110" t="s">
        <v>578</v>
      </c>
      <c r="C95" s="112" t="s">
        <v>579</v>
      </c>
      <c r="D95" s="96" t="s">
        <v>1797</v>
      </c>
      <c r="M95" s="72" t="s">
        <v>605</v>
      </c>
    </row>
    <row r="96" spans="2:14" ht="15.5">
      <c r="B96" s="110" t="s">
        <v>580</v>
      </c>
      <c r="C96" s="112" t="s">
        <v>581</v>
      </c>
      <c r="D96" s="96"/>
      <c r="F96" t="s">
        <v>1806</v>
      </c>
      <c r="M96" s="72" t="s">
        <v>605</v>
      </c>
    </row>
    <row r="97" spans="2:13" ht="15.5">
      <c r="B97" s="110" t="s">
        <v>485</v>
      </c>
      <c r="C97" s="112" t="s">
        <v>486</v>
      </c>
      <c r="D97" s="96" t="s">
        <v>1797</v>
      </c>
      <c r="M97" s="72" t="s">
        <v>605</v>
      </c>
    </row>
    <row r="98" spans="2:13" ht="15.5">
      <c r="B98" s="110" t="s">
        <v>582</v>
      </c>
      <c r="C98" s="112" t="s">
        <v>583</v>
      </c>
      <c r="D98" s="96"/>
      <c r="F98" t="s">
        <v>1806</v>
      </c>
      <c r="M98" s="72" t="s">
        <v>605</v>
      </c>
    </row>
    <row r="99" spans="2:13" ht="15.5">
      <c r="B99" s="110" t="s">
        <v>489</v>
      </c>
      <c r="C99" s="112" t="s">
        <v>490</v>
      </c>
      <c r="D99" s="96" t="s">
        <v>1797</v>
      </c>
      <c r="M99" s="72" t="s">
        <v>605</v>
      </c>
    </row>
    <row r="100" spans="2:13" ht="15.5">
      <c r="B100" s="110" t="s">
        <v>491</v>
      </c>
      <c r="C100" s="112" t="s">
        <v>492</v>
      </c>
      <c r="D100" s="96"/>
      <c r="F100" t="s">
        <v>1806</v>
      </c>
      <c r="M100" s="72" t="s">
        <v>605</v>
      </c>
    </row>
    <row r="101" spans="2:13" ht="31.5" customHeight="1">
      <c r="B101" s="110" t="s">
        <v>493</v>
      </c>
      <c r="C101" s="112" t="s">
        <v>494</v>
      </c>
      <c r="D101" s="96" t="s">
        <v>1797</v>
      </c>
      <c r="M101" s="72" t="s">
        <v>605</v>
      </c>
    </row>
    <row r="102" spans="2:13" ht="16" customHeight="1">
      <c r="B102" s="110" t="s">
        <v>495</v>
      </c>
      <c r="C102" s="112" t="s">
        <v>584</v>
      </c>
      <c r="D102" s="96"/>
      <c r="F102" t="s">
        <v>1806</v>
      </c>
      <c r="M102" s="72" t="s">
        <v>605</v>
      </c>
    </row>
    <row r="103" spans="2:13" ht="15.5">
      <c r="B103" s="110" t="s">
        <v>497</v>
      </c>
      <c r="C103" s="112" t="s">
        <v>498</v>
      </c>
      <c r="D103" s="96" t="s">
        <v>1797</v>
      </c>
      <c r="M103" s="72" t="s">
        <v>605</v>
      </c>
    </row>
    <row r="104" spans="2:13" ht="15.5">
      <c r="B104" s="115" t="s">
        <v>501</v>
      </c>
      <c r="C104" s="112" t="s">
        <v>503</v>
      </c>
      <c r="D104" s="96" t="s">
        <v>1797</v>
      </c>
      <c r="M104" s="72" t="s">
        <v>605</v>
      </c>
    </row>
    <row r="105" spans="2:13" ht="15.5">
      <c r="B105" s="115" t="s">
        <v>502</v>
      </c>
      <c r="C105" s="116"/>
      <c r="D105" s="98"/>
      <c r="F105" t="s">
        <v>117</v>
      </c>
      <c r="M105" s="72" t="s">
        <v>605</v>
      </c>
    </row>
    <row r="106" spans="2:13" ht="15.5">
      <c r="B106" s="110" t="s">
        <v>507</v>
      </c>
      <c r="C106" s="112" t="s">
        <v>508</v>
      </c>
      <c r="D106" s="96" t="s">
        <v>1797</v>
      </c>
      <c r="M106" s="72" t="s">
        <v>605</v>
      </c>
    </row>
    <row r="107" spans="2:13" ht="15.5">
      <c r="B107" s="110" t="s">
        <v>509</v>
      </c>
      <c r="C107" s="112" t="s">
        <v>510</v>
      </c>
      <c r="D107" s="96"/>
      <c r="F107" t="s">
        <v>117</v>
      </c>
      <c r="M107" s="72" t="s">
        <v>605</v>
      </c>
    </row>
    <row r="108" spans="2:13" ht="15.5">
      <c r="B108" s="110" t="s">
        <v>511</v>
      </c>
      <c r="C108" s="112" t="s">
        <v>512</v>
      </c>
      <c r="D108" s="96" t="s">
        <v>1797</v>
      </c>
      <c r="M108" s="72" t="s">
        <v>605</v>
      </c>
    </row>
    <row r="109" spans="2:13" ht="15.5">
      <c r="B109" s="110" t="s">
        <v>513</v>
      </c>
      <c r="C109" s="112" t="s">
        <v>514</v>
      </c>
      <c r="D109" s="96"/>
      <c r="F109" t="s">
        <v>117</v>
      </c>
      <c r="M109" s="72" t="s">
        <v>605</v>
      </c>
    </row>
    <row r="110" spans="2:13" ht="15.5">
      <c r="B110" s="110" t="s">
        <v>515</v>
      </c>
      <c r="C110" s="112" t="s">
        <v>516</v>
      </c>
      <c r="D110" s="96" t="s">
        <v>1797</v>
      </c>
      <c r="M110" s="72" t="s">
        <v>605</v>
      </c>
    </row>
    <row r="111" spans="2:13" ht="15.5">
      <c r="B111" s="110" t="s">
        <v>517</v>
      </c>
      <c r="C111" s="112" t="s">
        <v>518</v>
      </c>
      <c r="D111" s="96"/>
      <c r="F111" t="s">
        <v>117</v>
      </c>
      <c r="M111" s="72" t="s">
        <v>605</v>
      </c>
    </row>
    <row r="112" spans="2:13" ht="15.5">
      <c r="B112" s="110" t="s">
        <v>519</v>
      </c>
      <c r="C112" s="112" t="s">
        <v>520</v>
      </c>
      <c r="D112" s="96" t="s">
        <v>1797</v>
      </c>
      <c r="M112" s="72" t="s">
        <v>605</v>
      </c>
    </row>
    <row r="113" spans="2:27" ht="15.5">
      <c r="B113" s="110" t="s">
        <v>521</v>
      </c>
      <c r="C113" s="112" t="s">
        <v>522</v>
      </c>
      <c r="D113" s="96"/>
      <c r="F113" t="s">
        <v>117</v>
      </c>
      <c r="H113" s="72" t="s">
        <v>605</v>
      </c>
      <c r="M113" s="72" t="s">
        <v>605</v>
      </c>
    </row>
    <row r="114" spans="2:27" ht="15.5">
      <c r="B114" s="110" t="s">
        <v>523</v>
      </c>
      <c r="C114" s="112" t="s">
        <v>524</v>
      </c>
      <c r="D114" s="96" t="s">
        <v>1797</v>
      </c>
      <c r="M114" s="72" t="s">
        <v>605</v>
      </c>
    </row>
    <row r="115" spans="2:27" ht="15.5">
      <c r="B115" s="110" t="s">
        <v>525</v>
      </c>
      <c r="C115" s="112" t="s">
        <v>526</v>
      </c>
      <c r="D115" s="96"/>
      <c r="F115" t="s">
        <v>117</v>
      </c>
      <c r="M115" s="72" t="s">
        <v>605</v>
      </c>
    </row>
    <row r="116" spans="2:27" ht="15.5">
      <c r="B116" s="110" t="s">
        <v>527</v>
      </c>
      <c r="C116" s="112" t="s">
        <v>528</v>
      </c>
      <c r="D116" s="96" t="s">
        <v>1797</v>
      </c>
      <c r="M116" s="72" t="s">
        <v>605</v>
      </c>
    </row>
    <row r="117" spans="2:27" ht="15.5">
      <c r="B117" s="110" t="s">
        <v>529</v>
      </c>
      <c r="C117" s="112" t="s">
        <v>530</v>
      </c>
      <c r="D117" s="96"/>
      <c r="F117" t="s">
        <v>313</v>
      </c>
      <c r="M117" s="72" t="s">
        <v>605</v>
      </c>
    </row>
    <row r="118" spans="2:27" ht="47.15" customHeight="1">
      <c r="B118" s="110" t="s">
        <v>585</v>
      </c>
      <c r="C118" s="112" t="s">
        <v>586</v>
      </c>
      <c r="D118" s="96" t="s">
        <v>1797</v>
      </c>
      <c r="M118" s="72" t="s">
        <v>605</v>
      </c>
    </row>
    <row r="119" spans="2:27" ht="37" customHeight="1">
      <c r="B119" s="110" t="s">
        <v>587</v>
      </c>
      <c r="C119" s="112" t="s">
        <v>588</v>
      </c>
      <c r="D119" s="96"/>
      <c r="F119" t="s">
        <v>1806</v>
      </c>
      <c r="H119" s="72" t="s">
        <v>605</v>
      </c>
      <c r="M119" s="72" t="s">
        <v>605</v>
      </c>
    </row>
    <row r="120" spans="2:27" ht="26.5">
      <c r="B120" s="117"/>
      <c r="C120" s="118" t="s">
        <v>971</v>
      </c>
      <c r="D120" s="40" t="s">
        <v>1797</v>
      </c>
      <c r="I120" s="72" t="s">
        <v>605</v>
      </c>
    </row>
    <row r="121" spans="2:27" ht="26.5">
      <c r="B121" s="117" t="s">
        <v>968</v>
      </c>
      <c r="C121" s="118" t="s">
        <v>972</v>
      </c>
      <c r="D121" s="40"/>
      <c r="F121" t="s">
        <v>1809</v>
      </c>
      <c r="I121" s="72" t="s">
        <v>605</v>
      </c>
      <c r="U121" s="72" t="s">
        <v>605</v>
      </c>
      <c r="AA121" s="72" t="s">
        <v>605</v>
      </c>
    </row>
    <row r="122" spans="2:27">
      <c r="B122" s="117"/>
      <c r="C122" s="118" t="s">
        <v>969</v>
      </c>
      <c r="D122" s="40" t="s">
        <v>1797</v>
      </c>
      <c r="I122" s="72" t="s">
        <v>605</v>
      </c>
      <c r="U122" s="72" t="s">
        <v>605</v>
      </c>
    </row>
    <row r="123" spans="2:27">
      <c r="B123" s="117" t="s">
        <v>973</v>
      </c>
      <c r="C123" s="118" t="s">
        <v>970</v>
      </c>
      <c r="D123" s="40"/>
      <c r="E123" t="s">
        <v>605</v>
      </c>
      <c r="I123" s="72" t="s">
        <v>605</v>
      </c>
      <c r="U123" s="72" t="s">
        <v>605</v>
      </c>
      <c r="AA123" s="72" t="s">
        <v>18</v>
      </c>
    </row>
    <row r="124" spans="2:27" ht="26.5">
      <c r="B124" s="117"/>
      <c r="C124" s="118" t="s">
        <v>974</v>
      </c>
      <c r="D124" s="40" t="s">
        <v>1797</v>
      </c>
      <c r="I124" s="72" t="s">
        <v>605</v>
      </c>
    </row>
    <row r="125" spans="2:27" ht="26.5">
      <c r="B125" s="117" t="s">
        <v>976</v>
      </c>
      <c r="C125" s="118" t="s">
        <v>975</v>
      </c>
      <c r="D125" s="40"/>
      <c r="E125" t="s">
        <v>605</v>
      </c>
      <c r="I125" s="72" t="s">
        <v>605</v>
      </c>
      <c r="AA125" s="72" t="s">
        <v>605</v>
      </c>
    </row>
    <row r="126" spans="2:27" ht="39.5">
      <c r="B126" s="117"/>
      <c r="C126" s="118" t="s">
        <v>977</v>
      </c>
      <c r="D126" s="40" t="s">
        <v>1797</v>
      </c>
      <c r="I126" s="72" t="s">
        <v>605</v>
      </c>
    </row>
    <row r="127" spans="2:27" ht="39.5">
      <c r="B127" s="117" t="s">
        <v>981</v>
      </c>
      <c r="C127" s="118" t="s">
        <v>978</v>
      </c>
      <c r="D127" s="40"/>
      <c r="E127" t="s">
        <v>605</v>
      </c>
      <c r="I127" s="72" t="s">
        <v>605</v>
      </c>
      <c r="AA127" s="72" t="s">
        <v>1982</v>
      </c>
    </row>
    <row r="128" spans="2:27" ht="26.5">
      <c r="B128" s="117"/>
      <c r="C128" s="118" t="s">
        <v>979</v>
      </c>
      <c r="D128" s="40" t="s">
        <v>1797</v>
      </c>
      <c r="I128" s="72" t="s">
        <v>605</v>
      </c>
    </row>
    <row r="129" spans="2:27" ht="26.5">
      <c r="B129" s="117" t="s">
        <v>982</v>
      </c>
      <c r="C129" s="118" t="s">
        <v>980</v>
      </c>
      <c r="D129" s="40"/>
      <c r="E129" t="s">
        <v>605</v>
      </c>
      <c r="I129" s="72" t="s">
        <v>605</v>
      </c>
      <c r="AA129" s="72" t="s">
        <v>605</v>
      </c>
    </row>
    <row r="130" spans="2:27" ht="26.5">
      <c r="B130" s="117"/>
      <c r="C130" s="118" t="s">
        <v>991</v>
      </c>
      <c r="D130" s="40" t="s">
        <v>1797</v>
      </c>
      <c r="I130" s="72" t="s">
        <v>605</v>
      </c>
    </row>
    <row r="131" spans="2:27">
      <c r="B131" s="117" t="s">
        <v>985</v>
      </c>
      <c r="C131" s="118" t="s">
        <v>990</v>
      </c>
      <c r="D131" s="40"/>
      <c r="E131" t="s">
        <v>605</v>
      </c>
      <c r="I131" s="72" t="s">
        <v>605</v>
      </c>
      <c r="AA131" s="72" t="s">
        <v>605</v>
      </c>
    </row>
    <row r="132" spans="2:27" ht="26.5">
      <c r="B132" s="117"/>
      <c r="C132" s="118" t="s">
        <v>989</v>
      </c>
      <c r="D132" s="40" t="s">
        <v>1797</v>
      </c>
      <c r="I132" s="72" t="s">
        <v>605</v>
      </c>
    </row>
    <row r="133" spans="2:27" ht="26.5">
      <c r="B133" s="117" t="s">
        <v>986</v>
      </c>
      <c r="C133" s="118" t="s">
        <v>988</v>
      </c>
      <c r="D133" s="40"/>
      <c r="E133" t="s">
        <v>605</v>
      </c>
      <c r="I133" s="72" t="s">
        <v>605</v>
      </c>
      <c r="AA133" s="72" t="s">
        <v>605</v>
      </c>
    </row>
    <row r="134" spans="2:27">
      <c r="B134" s="117"/>
      <c r="C134" s="118" t="s">
        <v>983</v>
      </c>
      <c r="D134" s="40" t="s">
        <v>1797</v>
      </c>
      <c r="I134" s="72" t="s">
        <v>605</v>
      </c>
    </row>
    <row r="135" spans="2:27">
      <c r="B135" s="117" t="s">
        <v>987</v>
      </c>
      <c r="C135" s="118" t="s">
        <v>984</v>
      </c>
      <c r="D135" s="40"/>
      <c r="E135" t="s">
        <v>605</v>
      </c>
      <c r="I135" s="72" t="s">
        <v>605</v>
      </c>
      <c r="AA135" s="72" t="s">
        <v>605</v>
      </c>
    </row>
    <row r="136" spans="2:27">
      <c r="B136" s="117"/>
      <c r="C136" s="118" t="s">
        <v>992</v>
      </c>
      <c r="D136" s="40" t="s">
        <v>1797</v>
      </c>
      <c r="I136" s="72" t="s">
        <v>605</v>
      </c>
    </row>
    <row r="137" spans="2:27">
      <c r="B137" s="117" t="s">
        <v>1975</v>
      </c>
      <c r="C137" s="118" t="s">
        <v>993</v>
      </c>
      <c r="D137" s="40"/>
      <c r="E137" t="s">
        <v>605</v>
      </c>
      <c r="I137" s="72" t="s">
        <v>605</v>
      </c>
      <c r="AA137" s="72" t="s">
        <v>18</v>
      </c>
    </row>
    <row r="138" spans="2:27" ht="26.5">
      <c r="B138" s="117"/>
      <c r="C138" s="118" t="s">
        <v>1030</v>
      </c>
      <c r="D138" s="40" t="s">
        <v>1797</v>
      </c>
      <c r="I138" s="72" t="s">
        <v>605</v>
      </c>
    </row>
    <row r="139" spans="2:27">
      <c r="B139" s="117" t="s">
        <v>1976</v>
      </c>
      <c r="C139" s="118" t="s">
        <v>994</v>
      </c>
      <c r="D139" s="40"/>
      <c r="E139" t="s">
        <v>605</v>
      </c>
      <c r="I139" s="72" t="s">
        <v>605</v>
      </c>
      <c r="AA139" s="72" t="s">
        <v>605</v>
      </c>
    </row>
    <row r="140" spans="2:27" ht="26.5">
      <c r="B140" s="117"/>
      <c r="C140" s="118" t="s">
        <v>1031</v>
      </c>
      <c r="D140" s="40" t="s">
        <v>1797</v>
      </c>
      <c r="I140" s="72" t="s">
        <v>605</v>
      </c>
    </row>
    <row r="141" spans="2:27" ht="26.5">
      <c r="B141" s="117" t="s">
        <v>1977</v>
      </c>
      <c r="C141" s="118" t="s">
        <v>1032</v>
      </c>
      <c r="D141" s="40"/>
      <c r="E141" t="s">
        <v>605</v>
      </c>
      <c r="I141" s="72" t="s">
        <v>605</v>
      </c>
      <c r="AA141" s="72" t="s">
        <v>605</v>
      </c>
    </row>
    <row r="142" spans="2:27">
      <c r="B142" s="117"/>
      <c r="C142" s="118" t="s">
        <v>995</v>
      </c>
      <c r="D142" s="40" t="s">
        <v>1797</v>
      </c>
      <c r="I142" s="72" t="s">
        <v>605</v>
      </c>
    </row>
    <row r="143" spans="2:27">
      <c r="B143" s="117" t="s">
        <v>1978</v>
      </c>
      <c r="C143" s="118" t="s">
        <v>996</v>
      </c>
      <c r="D143" s="40"/>
      <c r="E143" t="s">
        <v>605</v>
      </c>
      <c r="I143" s="72" t="s">
        <v>605</v>
      </c>
      <c r="AA143" s="72" t="s">
        <v>605</v>
      </c>
    </row>
    <row r="144" spans="2:27">
      <c r="B144" s="117"/>
      <c r="C144" s="118" t="s">
        <v>997</v>
      </c>
      <c r="D144" s="40" t="s">
        <v>1797</v>
      </c>
      <c r="I144" s="72" t="s">
        <v>605</v>
      </c>
      <c r="U144" s="72" t="s">
        <v>605</v>
      </c>
    </row>
    <row r="145" spans="2:27">
      <c r="B145" s="117" t="s">
        <v>1758</v>
      </c>
      <c r="C145" s="118" t="s">
        <v>998</v>
      </c>
      <c r="D145" s="40"/>
      <c r="E145" t="s">
        <v>605</v>
      </c>
      <c r="I145" s="72" t="s">
        <v>605</v>
      </c>
      <c r="U145" s="72" t="s">
        <v>605</v>
      </c>
      <c r="AA145" s="72" t="s">
        <v>605</v>
      </c>
    </row>
    <row r="146" spans="2:27" ht="26.5">
      <c r="B146" s="117"/>
      <c r="C146" s="118" t="s">
        <v>1033</v>
      </c>
      <c r="D146" s="40" t="s">
        <v>1797</v>
      </c>
      <c r="I146" s="72" t="s">
        <v>605</v>
      </c>
      <c r="U146" s="72" t="s">
        <v>605</v>
      </c>
    </row>
    <row r="147" spans="2:27" ht="26.5">
      <c r="B147" s="117" t="s">
        <v>1979</v>
      </c>
      <c r="C147" s="118" t="s">
        <v>1034</v>
      </c>
      <c r="D147" s="40"/>
      <c r="E147" t="s">
        <v>605</v>
      </c>
      <c r="I147" s="72" t="s">
        <v>605</v>
      </c>
      <c r="U147" s="72" t="s">
        <v>605</v>
      </c>
      <c r="AA147" s="72" t="s">
        <v>605</v>
      </c>
    </row>
    <row r="148" spans="2:27" ht="26.5">
      <c r="B148" s="117"/>
      <c r="C148" s="118" t="s">
        <v>1035</v>
      </c>
      <c r="D148" s="40" t="s">
        <v>1797</v>
      </c>
      <c r="I148" s="72" t="s">
        <v>605</v>
      </c>
    </row>
    <row r="149" spans="2:27">
      <c r="B149" s="117" t="s">
        <v>1980</v>
      </c>
      <c r="C149" s="118" t="s">
        <v>999</v>
      </c>
      <c r="D149" s="40"/>
      <c r="E149" t="s">
        <v>605</v>
      </c>
      <c r="I149" s="72" t="s">
        <v>605</v>
      </c>
      <c r="AA149" s="72" t="s">
        <v>605</v>
      </c>
    </row>
    <row r="150" spans="2:27" ht="26.5">
      <c r="B150" s="117"/>
      <c r="C150" s="118" t="s">
        <v>1036</v>
      </c>
      <c r="D150" s="40" t="s">
        <v>1797</v>
      </c>
      <c r="I150" s="72" t="s">
        <v>605</v>
      </c>
    </row>
    <row r="151" spans="2:27" ht="26.5">
      <c r="B151" s="117" t="s">
        <v>1754</v>
      </c>
      <c r="C151" s="118" t="s">
        <v>1037</v>
      </c>
      <c r="D151" s="40"/>
      <c r="E151" t="s">
        <v>605</v>
      </c>
      <c r="I151" s="72" t="s">
        <v>605</v>
      </c>
      <c r="AA151" s="72" t="s">
        <v>605</v>
      </c>
    </row>
    <row r="152" spans="2:27" ht="26.5">
      <c r="B152" s="117"/>
      <c r="C152" s="118" t="s">
        <v>1038</v>
      </c>
      <c r="D152" s="40" t="s">
        <v>1797</v>
      </c>
      <c r="I152" s="72" t="s">
        <v>605</v>
      </c>
    </row>
    <row r="153" spans="2:27" ht="26.5">
      <c r="B153" s="117" t="s">
        <v>1981</v>
      </c>
      <c r="C153" s="118" t="s">
        <v>1039</v>
      </c>
      <c r="D153" s="40"/>
      <c r="E153" t="s">
        <v>605</v>
      </c>
      <c r="I153" s="72" t="s">
        <v>605</v>
      </c>
      <c r="AA153" s="72" t="s">
        <v>605</v>
      </c>
    </row>
    <row r="154" spans="2:27">
      <c r="B154" s="117"/>
      <c r="C154" s="118" t="s">
        <v>1000</v>
      </c>
      <c r="D154" s="40" t="s">
        <v>1797</v>
      </c>
      <c r="I154" s="72" t="s">
        <v>605</v>
      </c>
      <c r="U154" s="72" t="s">
        <v>605</v>
      </c>
    </row>
    <row r="155" spans="2:27">
      <c r="B155" s="117" t="s">
        <v>1757</v>
      </c>
      <c r="C155" s="118" t="s">
        <v>1001</v>
      </c>
      <c r="D155" s="40"/>
      <c r="E155" t="s">
        <v>605</v>
      </c>
      <c r="I155" s="72" t="s">
        <v>605</v>
      </c>
      <c r="U155" s="72" t="s">
        <v>605</v>
      </c>
      <c r="AA155" s="72" t="s">
        <v>605</v>
      </c>
    </row>
    <row r="156" spans="2:27">
      <c r="B156" s="117"/>
      <c r="C156" s="118" t="s">
        <v>1002</v>
      </c>
      <c r="D156" s="40" t="s">
        <v>1797</v>
      </c>
      <c r="I156" s="72" t="s">
        <v>605</v>
      </c>
    </row>
    <row r="157" spans="2:27">
      <c r="B157" s="117" t="s">
        <v>1834</v>
      </c>
      <c r="C157" s="118" t="s">
        <v>1003</v>
      </c>
      <c r="D157" s="40"/>
      <c r="E157" t="s">
        <v>1832</v>
      </c>
      <c r="F157" t="s">
        <v>1808</v>
      </c>
      <c r="I157" s="72" t="s">
        <v>605</v>
      </c>
      <c r="AA157" s="72" t="s">
        <v>605</v>
      </c>
    </row>
    <row r="158" spans="2:27" ht="26.5">
      <c r="B158" s="117"/>
      <c r="C158" s="118" t="s">
        <v>1040</v>
      </c>
      <c r="D158" s="40" t="s">
        <v>1797</v>
      </c>
      <c r="I158" s="72" t="s">
        <v>605</v>
      </c>
    </row>
    <row r="159" spans="2:27">
      <c r="B159" s="117"/>
      <c r="C159" s="118" t="s">
        <v>1004</v>
      </c>
      <c r="D159" s="40"/>
      <c r="F159" t="s">
        <v>1806</v>
      </c>
      <c r="I159" s="72" t="s">
        <v>605</v>
      </c>
      <c r="AA159" s="72" t="s">
        <v>605</v>
      </c>
    </row>
    <row r="160" spans="2:27">
      <c r="B160" s="117"/>
      <c r="C160" s="118" t="s">
        <v>1005</v>
      </c>
      <c r="D160" s="40" t="s">
        <v>1797</v>
      </c>
      <c r="I160" s="72" t="s">
        <v>605</v>
      </c>
    </row>
    <row r="161" spans="2:27" ht="26.5">
      <c r="B161" s="117"/>
      <c r="C161" s="118" t="s">
        <v>1006</v>
      </c>
      <c r="D161" s="40" t="s">
        <v>1797</v>
      </c>
      <c r="I161" s="72" t="s">
        <v>605</v>
      </c>
    </row>
    <row r="162" spans="2:27">
      <c r="B162" s="128" t="s">
        <v>1813</v>
      </c>
      <c r="C162" s="118" t="s">
        <v>1007</v>
      </c>
      <c r="D162" s="40" t="s">
        <v>18</v>
      </c>
      <c r="F162" t="s">
        <v>1831</v>
      </c>
      <c r="I162" s="72" t="s">
        <v>605</v>
      </c>
      <c r="AA162" s="72" t="s">
        <v>605</v>
      </c>
    </row>
    <row r="163" spans="2:27" ht="39.5">
      <c r="B163" s="117"/>
      <c r="C163" s="118" t="s">
        <v>1041</v>
      </c>
      <c r="D163" s="40" t="s">
        <v>1797</v>
      </c>
      <c r="I163" s="72" t="s">
        <v>605</v>
      </c>
    </row>
    <row r="164" spans="2:27" ht="39.5">
      <c r="B164" s="117" t="s">
        <v>1833</v>
      </c>
      <c r="C164" s="118" t="s">
        <v>1042</v>
      </c>
      <c r="D164" s="40"/>
      <c r="E164" t="s">
        <v>1832</v>
      </c>
      <c r="F164" t="s">
        <v>1808</v>
      </c>
      <c r="I164" s="72" t="s">
        <v>605</v>
      </c>
      <c r="AA164" s="72" t="s">
        <v>605</v>
      </c>
    </row>
    <row r="165" spans="2:27" ht="39.5">
      <c r="B165" s="117"/>
      <c r="C165" s="118" t="s">
        <v>1043</v>
      </c>
      <c r="D165" s="40" t="s">
        <v>1797</v>
      </c>
      <c r="I165" s="72" t="s">
        <v>605</v>
      </c>
    </row>
    <row r="166" spans="2:27" ht="39.5">
      <c r="B166" s="128" t="s">
        <v>1814</v>
      </c>
      <c r="C166" s="118" t="s">
        <v>1044</v>
      </c>
      <c r="D166" s="40"/>
      <c r="F166" t="s">
        <v>1810</v>
      </c>
      <c r="I166" s="72" t="s">
        <v>605</v>
      </c>
      <c r="AA166" s="72" t="s">
        <v>605</v>
      </c>
    </row>
    <row r="167" spans="2:27" ht="26.5">
      <c r="B167" s="117"/>
      <c r="C167" s="118" t="s">
        <v>1045</v>
      </c>
      <c r="D167" s="40" t="s">
        <v>1797</v>
      </c>
      <c r="I167" s="72" t="s">
        <v>605</v>
      </c>
    </row>
    <row r="168" spans="2:27" ht="26.5">
      <c r="B168" s="117"/>
      <c r="C168" s="118" t="s">
        <v>1046</v>
      </c>
      <c r="D168" s="40"/>
      <c r="F168" t="s">
        <v>166</v>
      </c>
      <c r="I168" s="72" t="s">
        <v>605</v>
      </c>
      <c r="AA168" s="72" t="s">
        <v>605</v>
      </c>
    </row>
    <row r="169" spans="2:27" ht="26.5">
      <c r="B169" s="117"/>
      <c r="C169" s="118" t="s">
        <v>1047</v>
      </c>
      <c r="D169" s="40" t="s">
        <v>1797</v>
      </c>
      <c r="I169" s="72" t="s">
        <v>605</v>
      </c>
    </row>
    <row r="170" spans="2:27" ht="26.5">
      <c r="B170" s="117"/>
      <c r="C170" s="118" t="s">
        <v>1048</v>
      </c>
      <c r="D170" s="40"/>
      <c r="F170" t="s">
        <v>1808</v>
      </c>
      <c r="I170" s="72" t="s">
        <v>605</v>
      </c>
      <c r="AA170" s="72" t="s">
        <v>605</v>
      </c>
    </row>
    <row r="171" spans="2:27" ht="26.5">
      <c r="B171" s="117"/>
      <c r="C171" s="118" t="s">
        <v>1049</v>
      </c>
      <c r="D171" s="40" t="s">
        <v>1797</v>
      </c>
      <c r="I171" s="72" t="s">
        <v>605</v>
      </c>
    </row>
    <row r="172" spans="2:27" ht="26.5">
      <c r="B172" s="117"/>
      <c r="C172" s="118" t="s">
        <v>1050</v>
      </c>
      <c r="D172" s="40"/>
      <c r="F172" t="s">
        <v>1808</v>
      </c>
      <c r="I172" s="72" t="s">
        <v>605</v>
      </c>
      <c r="AA172" s="72" t="s">
        <v>605</v>
      </c>
    </row>
    <row r="173" spans="2:27" ht="26.5">
      <c r="B173" s="117"/>
      <c r="C173" s="118" t="s">
        <v>1051</v>
      </c>
      <c r="D173" s="40" t="s">
        <v>1797</v>
      </c>
      <c r="I173" s="72" t="s">
        <v>605</v>
      </c>
    </row>
    <row r="174" spans="2:27" ht="26.5">
      <c r="B174" s="117"/>
      <c r="C174" s="118" t="s">
        <v>1052</v>
      </c>
      <c r="D174" s="40"/>
      <c r="F174" t="s">
        <v>1808</v>
      </c>
      <c r="I174" s="72" t="s">
        <v>605</v>
      </c>
      <c r="AA174" s="72" t="s">
        <v>605</v>
      </c>
    </row>
    <row r="175" spans="2:27" ht="26.5">
      <c r="B175" s="117"/>
      <c r="C175" s="118" t="s">
        <v>1053</v>
      </c>
      <c r="D175" s="40" t="s">
        <v>1797</v>
      </c>
      <c r="I175" s="72" t="s">
        <v>605</v>
      </c>
    </row>
    <row r="176" spans="2:27" ht="26.5">
      <c r="B176" s="128" t="s">
        <v>1815</v>
      </c>
      <c r="C176" s="118" t="s">
        <v>1054</v>
      </c>
      <c r="D176" s="40"/>
      <c r="F176" t="s">
        <v>1806</v>
      </c>
      <c r="I176" s="72" t="s">
        <v>605</v>
      </c>
      <c r="AA176" s="72" t="s">
        <v>605</v>
      </c>
    </row>
    <row r="177" spans="2:27">
      <c r="B177" s="117"/>
      <c r="C177" s="118" t="s">
        <v>1008</v>
      </c>
      <c r="D177" s="40" t="s">
        <v>1797</v>
      </c>
      <c r="I177" s="72" t="s">
        <v>605</v>
      </c>
    </row>
    <row r="178" spans="2:27">
      <c r="B178" s="128"/>
      <c r="C178" s="118" t="s">
        <v>1009</v>
      </c>
      <c r="D178" s="40"/>
      <c r="F178" t="s">
        <v>1809</v>
      </c>
      <c r="I178" s="72" t="s">
        <v>605</v>
      </c>
      <c r="AA178" s="72" t="s">
        <v>605</v>
      </c>
    </row>
    <row r="179" spans="2:27">
      <c r="B179" s="117"/>
      <c r="C179" s="118" t="s">
        <v>1010</v>
      </c>
      <c r="D179" s="40" t="s">
        <v>1797</v>
      </c>
      <c r="I179" s="72" t="s">
        <v>605</v>
      </c>
    </row>
    <row r="180" spans="2:27">
      <c r="B180" s="128"/>
      <c r="C180" s="118" t="s">
        <v>1011</v>
      </c>
      <c r="D180" s="40"/>
      <c r="F180" t="s">
        <v>1810</v>
      </c>
      <c r="I180" s="72" t="s">
        <v>605</v>
      </c>
      <c r="AA180" s="72" t="s">
        <v>605</v>
      </c>
    </row>
    <row r="181" spans="2:27">
      <c r="B181" s="117"/>
      <c r="C181" s="118" t="s">
        <v>1012</v>
      </c>
      <c r="D181" s="40" t="s">
        <v>1797</v>
      </c>
      <c r="I181" s="72" t="s">
        <v>605</v>
      </c>
    </row>
    <row r="182" spans="2:27">
      <c r="B182" s="128"/>
      <c r="C182" s="118" t="s">
        <v>1013</v>
      </c>
      <c r="D182" s="40"/>
      <c r="F182" t="s">
        <v>1811</v>
      </c>
      <c r="I182" s="72" t="s">
        <v>605</v>
      </c>
      <c r="AA182" s="72" t="s">
        <v>605</v>
      </c>
    </row>
    <row r="183" spans="2:27" ht="26.5">
      <c r="B183" s="117"/>
      <c r="C183" s="118" t="s">
        <v>1055</v>
      </c>
      <c r="D183" s="40" t="s">
        <v>1797</v>
      </c>
      <c r="I183" s="72" t="s">
        <v>605</v>
      </c>
    </row>
    <row r="184" spans="2:27" ht="26.5">
      <c r="B184" s="117"/>
      <c r="C184" s="118" t="s">
        <v>1056</v>
      </c>
      <c r="D184" s="40"/>
      <c r="F184" t="s">
        <v>334</v>
      </c>
      <c r="I184" s="72" t="s">
        <v>605</v>
      </c>
      <c r="AA184" s="72" t="s">
        <v>605</v>
      </c>
    </row>
    <row r="185" spans="2:27" ht="26.5">
      <c r="B185" s="117"/>
      <c r="C185" s="118" t="s">
        <v>1057</v>
      </c>
      <c r="D185" s="40" t="s">
        <v>1797</v>
      </c>
      <c r="I185" s="72" t="s">
        <v>605</v>
      </c>
    </row>
    <row r="186" spans="2:27" ht="26.5">
      <c r="B186" s="117"/>
      <c r="C186" s="118" t="s">
        <v>1058</v>
      </c>
      <c r="D186" s="40"/>
      <c r="F186" t="s">
        <v>1810</v>
      </c>
      <c r="I186" s="72" t="s">
        <v>605</v>
      </c>
      <c r="AA186" s="72" t="s">
        <v>605</v>
      </c>
    </row>
    <row r="187" spans="2:27" ht="26.5">
      <c r="B187" s="117"/>
      <c r="C187" s="118" t="s">
        <v>1059</v>
      </c>
      <c r="D187" s="40" t="s">
        <v>1797</v>
      </c>
      <c r="I187" s="72" t="s">
        <v>605</v>
      </c>
    </row>
    <row r="188" spans="2:27">
      <c r="B188" s="117"/>
      <c r="C188" s="118" t="s">
        <v>1014</v>
      </c>
      <c r="D188" s="40"/>
      <c r="F188" t="s">
        <v>1812</v>
      </c>
      <c r="I188" s="72" t="s">
        <v>605</v>
      </c>
      <c r="AA188" s="72" t="s">
        <v>605</v>
      </c>
    </row>
    <row r="189" spans="2:27">
      <c r="B189" s="117"/>
      <c r="C189" s="118" t="s">
        <v>1015</v>
      </c>
      <c r="D189" s="40" t="s">
        <v>1797</v>
      </c>
      <c r="I189" s="72" t="s">
        <v>605</v>
      </c>
    </row>
    <row r="190" spans="2:27">
      <c r="B190" s="117"/>
      <c r="C190" s="118" t="s">
        <v>1016</v>
      </c>
      <c r="D190" s="40"/>
      <c r="F190" t="s">
        <v>334</v>
      </c>
      <c r="I190" s="72" t="s">
        <v>605</v>
      </c>
      <c r="AA190" s="72" t="s">
        <v>605</v>
      </c>
    </row>
    <row r="191" spans="2:27" ht="26.5">
      <c r="B191" s="117"/>
      <c r="C191" s="118" t="s">
        <v>1060</v>
      </c>
      <c r="D191" s="40" t="s">
        <v>1797</v>
      </c>
      <c r="I191" s="72" t="s">
        <v>605</v>
      </c>
    </row>
    <row r="192" spans="2:27" ht="26.5">
      <c r="B192" s="117"/>
      <c r="C192" s="118" t="s">
        <v>1061</v>
      </c>
      <c r="D192" s="40"/>
      <c r="F192" t="s">
        <v>334</v>
      </c>
      <c r="I192" s="72" t="s">
        <v>605</v>
      </c>
      <c r="AA192" s="72" t="s">
        <v>605</v>
      </c>
    </row>
    <row r="193" spans="2:27">
      <c r="B193" s="117"/>
      <c r="C193" s="118" t="s">
        <v>1017</v>
      </c>
      <c r="D193" s="40" t="s">
        <v>1797</v>
      </c>
      <c r="I193" s="72" t="s">
        <v>605</v>
      </c>
    </row>
    <row r="194" spans="2:27">
      <c r="B194" s="117"/>
      <c r="C194" s="118" t="s">
        <v>1018</v>
      </c>
      <c r="D194" s="40"/>
      <c r="F194" t="s">
        <v>334</v>
      </c>
      <c r="I194" s="72" t="s">
        <v>605</v>
      </c>
      <c r="AA194" s="72" t="s">
        <v>605</v>
      </c>
    </row>
    <row r="195" spans="2:27">
      <c r="B195" s="117"/>
      <c r="C195" s="118" t="s">
        <v>1019</v>
      </c>
      <c r="D195" s="40" t="s">
        <v>1797</v>
      </c>
      <c r="I195" s="72" t="s">
        <v>605</v>
      </c>
    </row>
    <row r="196" spans="2:27">
      <c r="B196" s="117"/>
      <c r="C196" s="118" t="s">
        <v>1020</v>
      </c>
      <c r="D196" s="40"/>
      <c r="F196" t="s">
        <v>166</v>
      </c>
      <c r="I196" s="72" t="s">
        <v>605</v>
      </c>
      <c r="AA196" s="72" t="s">
        <v>605</v>
      </c>
    </row>
    <row r="197" spans="2:27" ht="26.5">
      <c r="B197" s="117"/>
      <c r="C197" s="118" t="s">
        <v>1062</v>
      </c>
      <c r="D197" s="40" t="s">
        <v>1797</v>
      </c>
      <c r="I197" s="72" t="s">
        <v>605</v>
      </c>
    </row>
    <row r="198" spans="2:27">
      <c r="B198" s="117"/>
      <c r="C198" s="118" t="s">
        <v>1021</v>
      </c>
      <c r="D198" s="40"/>
      <c r="F198" t="s">
        <v>166</v>
      </c>
      <c r="I198" s="72" t="s">
        <v>605</v>
      </c>
      <c r="AA198" s="72" t="s">
        <v>605</v>
      </c>
    </row>
    <row r="199" spans="2:27">
      <c r="B199" s="117"/>
      <c r="C199" s="118" t="s">
        <v>1022</v>
      </c>
      <c r="D199" s="40" t="s">
        <v>1797</v>
      </c>
      <c r="I199" s="72" t="s">
        <v>605</v>
      </c>
    </row>
    <row r="200" spans="2:27">
      <c r="B200" s="128"/>
      <c r="C200" s="118" t="s">
        <v>1023</v>
      </c>
      <c r="D200" s="40"/>
      <c r="F200" t="s">
        <v>1811</v>
      </c>
      <c r="I200" s="72" t="s">
        <v>605</v>
      </c>
      <c r="AA200" s="72" t="s">
        <v>605</v>
      </c>
    </row>
    <row r="201" spans="2:27" ht="52.5">
      <c r="B201" s="117"/>
      <c r="C201" s="118" t="s">
        <v>1063</v>
      </c>
      <c r="D201" s="40" t="s">
        <v>1797</v>
      </c>
      <c r="I201" s="72" t="s">
        <v>605</v>
      </c>
    </row>
    <row r="202" spans="2:27" ht="39.5">
      <c r="B202" s="117"/>
      <c r="C202" s="118" t="s">
        <v>1064</v>
      </c>
      <c r="D202" s="40"/>
      <c r="F202" t="s">
        <v>1810</v>
      </c>
      <c r="I202" s="72" t="s">
        <v>605</v>
      </c>
      <c r="AA202" s="72" t="s">
        <v>605</v>
      </c>
    </row>
    <row r="203" spans="2:27" ht="39.5">
      <c r="B203" s="117"/>
      <c r="C203" s="118" t="s">
        <v>1065</v>
      </c>
      <c r="D203" s="40" t="s">
        <v>1797</v>
      </c>
      <c r="I203" s="72" t="s">
        <v>605</v>
      </c>
    </row>
    <row r="204" spans="2:27" ht="39.5">
      <c r="B204" s="117"/>
      <c r="C204" s="118" t="s">
        <v>1066</v>
      </c>
      <c r="D204" s="40"/>
      <c r="F204" t="s">
        <v>1810</v>
      </c>
      <c r="I204" s="72" t="s">
        <v>605</v>
      </c>
      <c r="AA204" s="72" t="s">
        <v>605</v>
      </c>
    </row>
    <row r="205" spans="2:27">
      <c r="B205" s="117"/>
      <c r="C205" s="118" t="s">
        <v>1024</v>
      </c>
      <c r="D205" s="40" t="s">
        <v>1797</v>
      </c>
      <c r="I205" s="72" t="s">
        <v>605</v>
      </c>
    </row>
    <row r="206" spans="2:27">
      <c r="B206" s="117"/>
      <c r="C206" s="118" t="s">
        <v>1025</v>
      </c>
      <c r="D206" s="40"/>
      <c r="F206" t="s">
        <v>1811</v>
      </c>
      <c r="I206" s="72" t="s">
        <v>605</v>
      </c>
      <c r="AA206" s="72" t="s">
        <v>605</v>
      </c>
    </row>
    <row r="207" spans="2:27" ht="26.5">
      <c r="B207" s="117"/>
      <c r="C207" s="118" t="s">
        <v>1067</v>
      </c>
      <c r="D207" s="40" t="s">
        <v>1797</v>
      </c>
      <c r="I207" s="72" t="s">
        <v>605</v>
      </c>
    </row>
    <row r="208" spans="2:27">
      <c r="B208" s="117"/>
      <c r="C208" s="118" t="s">
        <v>1026</v>
      </c>
      <c r="D208" s="40"/>
      <c r="F208" t="s">
        <v>334</v>
      </c>
      <c r="I208" s="72" t="s">
        <v>605</v>
      </c>
      <c r="AA208" s="72" t="s">
        <v>605</v>
      </c>
    </row>
    <row r="209" spans="2:27" ht="26.5">
      <c r="B209" s="117"/>
      <c r="C209" s="118" t="s">
        <v>1068</v>
      </c>
      <c r="D209" s="40" t="s">
        <v>1797</v>
      </c>
      <c r="I209" s="72" t="s">
        <v>605</v>
      </c>
      <c r="U209" s="72" t="s">
        <v>605</v>
      </c>
    </row>
    <row r="210" spans="2:27" ht="26.5">
      <c r="B210" s="117"/>
      <c r="C210" s="118" t="s">
        <v>1069</v>
      </c>
      <c r="D210" s="40"/>
      <c r="F210" t="s">
        <v>334</v>
      </c>
      <c r="I210" s="72" t="s">
        <v>605</v>
      </c>
      <c r="U210" s="72" t="s">
        <v>605</v>
      </c>
      <c r="AA210" s="72" t="s">
        <v>605</v>
      </c>
    </row>
    <row r="211" spans="2:27" ht="26.5">
      <c r="B211" s="117"/>
      <c r="C211" s="118" t="s">
        <v>1070</v>
      </c>
      <c r="D211" s="40" t="s">
        <v>1797</v>
      </c>
      <c r="I211" s="72" t="s">
        <v>605</v>
      </c>
    </row>
    <row r="212" spans="2:27" ht="26.5">
      <c r="B212" s="117"/>
      <c r="C212" s="118" t="s">
        <v>1071</v>
      </c>
      <c r="D212" s="40"/>
      <c r="F212" t="s">
        <v>1810</v>
      </c>
      <c r="I212" s="72" t="s">
        <v>605</v>
      </c>
      <c r="AA212" s="72" t="s">
        <v>605</v>
      </c>
    </row>
    <row r="213" spans="2:27" ht="26.5">
      <c r="B213" s="117"/>
      <c r="C213" s="118" t="s">
        <v>1072</v>
      </c>
      <c r="D213" s="40" t="s">
        <v>1797</v>
      </c>
      <c r="I213" s="72" t="s">
        <v>605</v>
      </c>
    </row>
    <row r="214" spans="2:27" ht="26.5">
      <c r="B214" s="117"/>
      <c r="C214" s="118" t="s">
        <v>1073</v>
      </c>
      <c r="D214" s="40"/>
      <c r="F214" t="s">
        <v>1810</v>
      </c>
      <c r="I214" s="72" t="s">
        <v>605</v>
      </c>
      <c r="AA214" s="72" t="s">
        <v>605</v>
      </c>
    </row>
    <row r="215" spans="2:27">
      <c r="B215" s="128" t="s">
        <v>1823</v>
      </c>
      <c r="C215" s="118" t="s">
        <v>1027</v>
      </c>
      <c r="D215" s="40"/>
      <c r="F215" t="s">
        <v>166</v>
      </c>
      <c r="I215" s="72" t="s">
        <v>605</v>
      </c>
      <c r="AA215" s="72" t="s">
        <v>605</v>
      </c>
    </row>
    <row r="216" spans="2:27">
      <c r="B216" s="117" t="s">
        <v>1823</v>
      </c>
      <c r="C216" s="118" t="s">
        <v>1028</v>
      </c>
      <c r="D216" s="40" t="s">
        <v>1797</v>
      </c>
      <c r="I216" s="72" t="s">
        <v>605</v>
      </c>
    </row>
    <row r="217" spans="2:27">
      <c r="B217" s="117"/>
      <c r="C217" s="118" t="s">
        <v>1029</v>
      </c>
      <c r="D217" s="40"/>
      <c r="F217" t="s">
        <v>334</v>
      </c>
      <c r="I217" s="72" t="s">
        <v>605</v>
      </c>
      <c r="AA217" s="72" t="s">
        <v>605</v>
      </c>
    </row>
    <row r="218" spans="2:27" ht="26.5">
      <c r="B218" s="117" t="s">
        <v>1217</v>
      </c>
      <c r="C218" s="118" t="s">
        <v>1074</v>
      </c>
      <c r="D218" s="40" t="s">
        <v>1797</v>
      </c>
      <c r="I218" s="72" t="s">
        <v>605</v>
      </c>
    </row>
    <row r="219" spans="2:27" ht="15.5">
      <c r="B219" s="110" t="s">
        <v>1457</v>
      </c>
      <c r="C219" s="111" t="s">
        <v>1826</v>
      </c>
      <c r="D219" s="58"/>
      <c r="F219" t="s">
        <v>98</v>
      </c>
      <c r="O219" s="72" t="s">
        <v>605</v>
      </c>
      <c r="AA219" s="72" t="s">
        <v>605</v>
      </c>
    </row>
    <row r="220" spans="2:27" ht="26">
      <c r="B220" s="110" t="s">
        <v>1458</v>
      </c>
      <c r="C220" s="111" t="s">
        <v>1825</v>
      </c>
      <c r="D220" s="58"/>
      <c r="F220" t="s">
        <v>98</v>
      </c>
      <c r="O220" s="72" t="s">
        <v>605</v>
      </c>
      <c r="AA220" s="72" t="s">
        <v>605</v>
      </c>
    </row>
    <row r="221" spans="2:27" ht="26">
      <c r="B221" s="110" t="s">
        <v>1459</v>
      </c>
      <c r="C221" s="111" t="s">
        <v>1824</v>
      </c>
      <c r="D221" s="58"/>
      <c r="F221" t="s">
        <v>98</v>
      </c>
      <c r="O221" s="72" t="s">
        <v>605</v>
      </c>
      <c r="AA221" s="72" t="s">
        <v>605</v>
      </c>
    </row>
    <row r="222" spans="2:27" ht="39">
      <c r="B222" s="110" t="s">
        <v>1460</v>
      </c>
      <c r="C222" s="111" t="s">
        <v>1827</v>
      </c>
      <c r="D222" s="58"/>
      <c r="F222" t="s">
        <v>98</v>
      </c>
      <c r="O222" s="72" t="s">
        <v>605</v>
      </c>
      <c r="AA222" s="72" t="s">
        <v>605</v>
      </c>
    </row>
    <row r="223" spans="2:27" ht="26">
      <c r="B223" s="110" t="s">
        <v>1461</v>
      </c>
      <c r="C223" s="111" t="s">
        <v>1829</v>
      </c>
      <c r="D223" s="58"/>
      <c r="F223" t="s">
        <v>98</v>
      </c>
      <c r="H223" s="71"/>
      <c r="O223" s="72" t="s">
        <v>605</v>
      </c>
      <c r="AA223" s="72" t="s">
        <v>605</v>
      </c>
    </row>
    <row r="224" spans="2:27" ht="39">
      <c r="B224" s="110" t="s">
        <v>1462</v>
      </c>
      <c r="C224" s="111" t="s">
        <v>1828</v>
      </c>
      <c r="D224" s="58"/>
      <c r="F224" t="s">
        <v>98</v>
      </c>
      <c r="H224" s="71"/>
      <c r="O224" s="72" t="s">
        <v>605</v>
      </c>
      <c r="AA224" s="72" t="s">
        <v>605</v>
      </c>
    </row>
    <row r="225" spans="2:27" ht="26">
      <c r="B225" s="110" t="s">
        <v>1463</v>
      </c>
      <c r="C225" s="111" t="s">
        <v>1830</v>
      </c>
      <c r="D225" s="58"/>
      <c r="F225" t="s">
        <v>98</v>
      </c>
      <c r="O225" s="72" t="s">
        <v>605</v>
      </c>
      <c r="AA225" s="72" t="s">
        <v>605</v>
      </c>
    </row>
    <row r="226" spans="2:27" ht="15.5">
      <c r="B226" s="117"/>
      <c r="C226" s="111" t="s">
        <v>1464</v>
      </c>
      <c r="D226" s="58"/>
      <c r="F226" t="s">
        <v>98</v>
      </c>
      <c r="O226" s="72" t="s">
        <v>605</v>
      </c>
      <c r="AA226" s="72" t="s">
        <v>605</v>
      </c>
    </row>
    <row r="227" spans="2:27" ht="17.5">
      <c r="B227" s="117"/>
      <c r="C227" s="120" t="s">
        <v>1429</v>
      </c>
      <c r="D227" s="55"/>
      <c r="F227" s="125" t="s">
        <v>1598</v>
      </c>
      <c r="O227" s="72" t="s">
        <v>605</v>
      </c>
      <c r="AA227" s="72" t="s">
        <v>605</v>
      </c>
    </row>
    <row r="228" spans="2:27" ht="15">
      <c r="B228" s="117"/>
      <c r="C228" s="121" t="s">
        <v>1430</v>
      </c>
      <c r="D228" s="56"/>
      <c r="F228" s="125" t="s">
        <v>1598</v>
      </c>
      <c r="O228" s="72" t="s">
        <v>605</v>
      </c>
      <c r="AA228" s="72" t="s">
        <v>605</v>
      </c>
    </row>
    <row r="229" spans="2:27" ht="15.5">
      <c r="B229" s="128" t="s">
        <v>1822</v>
      </c>
      <c r="C229" s="109" t="s">
        <v>1431</v>
      </c>
      <c r="D229" s="57"/>
      <c r="O229" s="72" t="s">
        <v>605</v>
      </c>
      <c r="AA229" s="72" t="s">
        <v>605</v>
      </c>
    </row>
    <row r="230" spans="2:27" ht="26">
      <c r="B230" s="117" t="s">
        <v>1820</v>
      </c>
      <c r="C230" s="109" t="s">
        <v>1432</v>
      </c>
      <c r="D230" s="57"/>
      <c r="E230" t="s">
        <v>605</v>
      </c>
      <c r="O230" s="72" t="s">
        <v>605</v>
      </c>
      <c r="AA230" s="72" t="s">
        <v>18</v>
      </c>
    </row>
    <row r="231" spans="2:27" ht="26">
      <c r="B231" s="117" t="s">
        <v>1819</v>
      </c>
      <c r="C231" s="109" t="s">
        <v>1433</v>
      </c>
      <c r="D231" s="57"/>
      <c r="E231" t="s">
        <v>605</v>
      </c>
      <c r="O231" s="72" t="s">
        <v>605</v>
      </c>
      <c r="AA231" s="72" t="s">
        <v>605</v>
      </c>
    </row>
    <row r="232" spans="2:27" ht="15.5">
      <c r="B232" s="117" t="s">
        <v>815</v>
      </c>
      <c r="C232" s="109" t="s">
        <v>1434</v>
      </c>
      <c r="D232" s="57"/>
      <c r="E232" t="s">
        <v>605</v>
      </c>
      <c r="O232" s="72" t="s">
        <v>605</v>
      </c>
      <c r="AA232" s="72" t="s">
        <v>605</v>
      </c>
    </row>
    <row r="233" spans="2:27" ht="15.5">
      <c r="B233" s="117"/>
      <c r="C233" s="109" t="s">
        <v>1435</v>
      </c>
      <c r="D233" s="57"/>
      <c r="F233" t="s">
        <v>98</v>
      </c>
      <c r="O233" s="72" t="s">
        <v>605</v>
      </c>
      <c r="AA233" s="72" t="s">
        <v>605</v>
      </c>
    </row>
    <row r="234" spans="2:27" ht="15.5">
      <c r="B234" s="117" t="s">
        <v>1818</v>
      </c>
      <c r="C234" s="109" t="s">
        <v>1436</v>
      </c>
      <c r="D234" s="57"/>
      <c r="E234" t="s">
        <v>605</v>
      </c>
      <c r="O234" s="72" t="s">
        <v>605</v>
      </c>
      <c r="AA234" s="72" t="s">
        <v>605</v>
      </c>
    </row>
    <row r="235" spans="2:27" ht="26">
      <c r="B235" s="117" t="s">
        <v>1817</v>
      </c>
      <c r="C235" s="109" t="s">
        <v>1437</v>
      </c>
      <c r="D235" s="57"/>
      <c r="E235" t="s">
        <v>605</v>
      </c>
      <c r="O235" s="72" t="s">
        <v>605</v>
      </c>
      <c r="AA235" s="72" t="s">
        <v>605</v>
      </c>
    </row>
    <row r="236" spans="2:27" ht="26">
      <c r="B236" s="117" t="s">
        <v>1816</v>
      </c>
      <c r="C236" s="109" t="s">
        <v>1438</v>
      </c>
      <c r="D236" s="57"/>
      <c r="E236" t="s">
        <v>605</v>
      </c>
      <c r="O236" s="72" t="s">
        <v>605</v>
      </c>
      <c r="AA236" s="72" t="s">
        <v>605</v>
      </c>
    </row>
    <row r="237" spans="2:27" ht="15.5">
      <c r="B237" s="117"/>
      <c r="C237" s="111" t="s">
        <v>1439</v>
      </c>
      <c r="D237" s="58"/>
      <c r="F237" t="s">
        <v>98</v>
      </c>
      <c r="O237" s="72" t="s">
        <v>605</v>
      </c>
      <c r="AA237" s="72" t="s">
        <v>605</v>
      </c>
    </row>
    <row r="238" spans="2:27" ht="26">
      <c r="B238" s="117"/>
      <c r="C238" s="111" t="s">
        <v>1440</v>
      </c>
      <c r="D238" s="58"/>
      <c r="F238" t="s">
        <v>98</v>
      </c>
      <c r="O238" s="72" t="s">
        <v>605</v>
      </c>
      <c r="AA238" s="72" t="s">
        <v>605</v>
      </c>
    </row>
    <row r="239" spans="2:27" ht="26">
      <c r="B239" s="117"/>
      <c r="C239" s="111" t="s">
        <v>1441</v>
      </c>
      <c r="D239" s="58"/>
      <c r="F239" t="s">
        <v>98</v>
      </c>
      <c r="O239" s="72" t="s">
        <v>605</v>
      </c>
      <c r="AA239" s="72" t="s">
        <v>605</v>
      </c>
    </row>
    <row r="240" spans="2:27" ht="15.5">
      <c r="B240" s="128" t="s">
        <v>1821</v>
      </c>
      <c r="C240" s="111" t="s">
        <v>1442</v>
      </c>
      <c r="D240" s="58"/>
      <c r="F240" t="s">
        <v>98</v>
      </c>
      <c r="O240" s="72" t="s">
        <v>605</v>
      </c>
      <c r="AA240" s="72" t="s">
        <v>605</v>
      </c>
    </row>
    <row r="241" spans="2:27" ht="15.5">
      <c r="B241" s="117"/>
      <c r="C241" s="111" t="s">
        <v>1443</v>
      </c>
      <c r="D241" s="58"/>
      <c r="F241" t="s">
        <v>98</v>
      </c>
      <c r="O241" s="72" t="s">
        <v>605</v>
      </c>
      <c r="AA241" s="72" t="s">
        <v>605</v>
      </c>
    </row>
    <row r="242" spans="2:27" ht="39">
      <c r="B242" s="117"/>
      <c r="C242" s="111" t="s">
        <v>1444</v>
      </c>
      <c r="D242" s="58"/>
      <c r="F242" t="s">
        <v>98</v>
      </c>
      <c r="O242" s="72" t="s">
        <v>605</v>
      </c>
      <c r="AA242" s="72" t="s">
        <v>605</v>
      </c>
    </row>
    <row r="243" spans="2:27" ht="26">
      <c r="B243" s="117"/>
      <c r="C243" s="109" t="s">
        <v>1445</v>
      </c>
      <c r="D243" s="57"/>
      <c r="F243" t="s">
        <v>98</v>
      </c>
      <c r="O243" s="72" t="s">
        <v>605</v>
      </c>
      <c r="AA243" s="72" t="s">
        <v>605</v>
      </c>
    </row>
    <row r="244" spans="2:27" ht="26">
      <c r="B244" s="117"/>
      <c r="C244" s="109" t="s">
        <v>1446</v>
      </c>
      <c r="D244" s="57"/>
      <c r="F244" t="s">
        <v>98</v>
      </c>
      <c r="O244" s="72" t="s">
        <v>605</v>
      </c>
      <c r="AA244" s="72" t="s">
        <v>605</v>
      </c>
    </row>
    <row r="245" spans="2:27" ht="39">
      <c r="B245" s="117"/>
      <c r="C245" s="109" t="s">
        <v>1447</v>
      </c>
      <c r="D245" s="57"/>
      <c r="F245" t="s">
        <v>98</v>
      </c>
      <c r="O245" s="72" t="s">
        <v>605</v>
      </c>
      <c r="AA245" s="72" t="s">
        <v>605</v>
      </c>
    </row>
    <row r="246" spans="2:27" ht="39">
      <c r="B246" s="117"/>
      <c r="C246" s="109" t="s">
        <v>1448</v>
      </c>
      <c r="D246" s="57"/>
      <c r="F246" t="s">
        <v>98</v>
      </c>
      <c r="O246" s="72" t="s">
        <v>605</v>
      </c>
      <c r="AA246" s="72" t="s">
        <v>605</v>
      </c>
    </row>
    <row r="247" spans="2:27" ht="15.5">
      <c r="B247" s="117"/>
      <c r="C247" s="109" t="s">
        <v>1449</v>
      </c>
      <c r="D247" s="57"/>
      <c r="F247" t="s">
        <v>98</v>
      </c>
      <c r="O247" s="72" t="s">
        <v>605</v>
      </c>
      <c r="AA247" s="72" t="s">
        <v>605</v>
      </c>
    </row>
    <row r="248" spans="2:27" ht="26">
      <c r="B248" s="117"/>
      <c r="C248" s="109" t="s">
        <v>1450</v>
      </c>
      <c r="D248" s="57"/>
      <c r="F248" t="s">
        <v>98</v>
      </c>
      <c r="O248" s="72" t="s">
        <v>605</v>
      </c>
      <c r="AA248" s="72" t="s">
        <v>605</v>
      </c>
    </row>
    <row r="249" spans="2:27" ht="15.5">
      <c r="B249" s="117"/>
      <c r="C249" s="109" t="s">
        <v>1451</v>
      </c>
      <c r="D249" s="57"/>
      <c r="F249" t="s">
        <v>98</v>
      </c>
      <c r="O249" s="72" t="s">
        <v>605</v>
      </c>
      <c r="AA249" s="72" t="s">
        <v>605</v>
      </c>
    </row>
    <row r="250" spans="2:27" ht="52.5">
      <c r="B250" s="117" t="s">
        <v>1720</v>
      </c>
      <c r="C250" s="118" t="s">
        <v>1719</v>
      </c>
      <c r="D250" s="40" t="s">
        <v>1798</v>
      </c>
      <c r="E250" t="s">
        <v>1832</v>
      </c>
      <c r="F250" t="s">
        <v>117</v>
      </c>
      <c r="U250" s="72" t="s">
        <v>605</v>
      </c>
      <c r="AA250" s="72" t="s">
        <v>605</v>
      </c>
    </row>
    <row r="251" spans="2:27" ht="39.5">
      <c r="B251" s="117" t="s">
        <v>1722</v>
      </c>
      <c r="C251" s="118" t="s">
        <v>1721</v>
      </c>
      <c r="D251" s="40" t="s">
        <v>1798</v>
      </c>
      <c r="E251" t="s">
        <v>1832</v>
      </c>
      <c r="F251" t="s">
        <v>1809</v>
      </c>
      <c r="U251" s="72" t="s">
        <v>605</v>
      </c>
      <c r="AA251" s="72" t="s">
        <v>18</v>
      </c>
    </row>
    <row r="252" spans="2:27" ht="52.5">
      <c r="B252" s="117" t="s">
        <v>1724</v>
      </c>
      <c r="C252" s="118" t="s">
        <v>1723</v>
      </c>
      <c r="D252" s="40" t="s">
        <v>1798</v>
      </c>
      <c r="F252" t="s">
        <v>334</v>
      </c>
      <c r="U252" s="72" t="s">
        <v>605</v>
      </c>
      <c r="AA252" s="72" t="s">
        <v>605</v>
      </c>
    </row>
    <row r="253" spans="2:27" ht="26.5">
      <c r="B253" s="117" t="s">
        <v>1725</v>
      </c>
      <c r="C253" s="118" t="s">
        <v>1616</v>
      </c>
      <c r="D253" s="40" t="s">
        <v>1798</v>
      </c>
      <c r="F253" t="s">
        <v>334</v>
      </c>
      <c r="U253" s="72" t="s">
        <v>605</v>
      </c>
      <c r="AA253" s="72" t="s">
        <v>605</v>
      </c>
    </row>
    <row r="254" spans="2:27" ht="39.5">
      <c r="B254" s="117" t="s">
        <v>1726</v>
      </c>
      <c r="C254" s="118" t="s">
        <v>1617</v>
      </c>
      <c r="D254" s="40" t="s">
        <v>1798</v>
      </c>
      <c r="E254" t="s">
        <v>605</v>
      </c>
      <c r="U254" s="72" t="s">
        <v>605</v>
      </c>
      <c r="AA254" s="72" t="s">
        <v>18</v>
      </c>
    </row>
    <row r="255" spans="2:27" ht="15.5">
      <c r="B255" s="128"/>
      <c r="C255" s="122" t="s">
        <v>1707</v>
      </c>
      <c r="D255" s="82"/>
      <c r="F255" s="125" t="s">
        <v>1598</v>
      </c>
      <c r="U255" s="72" t="s">
        <v>605</v>
      </c>
      <c r="AA255" s="72" t="s">
        <v>18</v>
      </c>
    </row>
    <row r="256" spans="2:27" ht="39">
      <c r="B256" s="117" t="s">
        <v>1727</v>
      </c>
      <c r="C256" s="109" t="s">
        <v>1802</v>
      </c>
      <c r="D256" s="57" t="s">
        <v>1798</v>
      </c>
      <c r="F256" t="s">
        <v>1806</v>
      </c>
      <c r="U256" s="72" t="s">
        <v>605</v>
      </c>
      <c r="AA256" s="72" t="s">
        <v>605</v>
      </c>
    </row>
    <row r="257" spans="2:27" ht="39">
      <c r="B257" s="117" t="s">
        <v>1728</v>
      </c>
      <c r="C257" s="109" t="s">
        <v>1657</v>
      </c>
      <c r="D257" s="57" t="s">
        <v>1798</v>
      </c>
      <c r="F257" t="s">
        <v>1806</v>
      </c>
      <c r="U257" s="72" t="s">
        <v>605</v>
      </c>
      <c r="AA257" s="72" t="s">
        <v>605</v>
      </c>
    </row>
    <row r="258" spans="2:27" ht="65">
      <c r="B258" s="117"/>
      <c r="C258" s="109" t="s">
        <v>1658</v>
      </c>
      <c r="D258" s="57" t="s">
        <v>1798</v>
      </c>
      <c r="F258" t="s">
        <v>1806</v>
      </c>
      <c r="U258" s="72" t="s">
        <v>605</v>
      </c>
      <c r="AA258" s="72" t="s">
        <v>605</v>
      </c>
    </row>
    <row r="259" spans="2:27" ht="39">
      <c r="B259" s="117" t="s">
        <v>1729</v>
      </c>
      <c r="C259" s="103" t="s">
        <v>1659</v>
      </c>
      <c r="D259" s="80" t="s">
        <v>1798</v>
      </c>
      <c r="F259" t="s">
        <v>1809</v>
      </c>
      <c r="U259" s="72" t="s">
        <v>605</v>
      </c>
      <c r="V259" s="72" t="s">
        <v>605</v>
      </c>
      <c r="AA259" s="72" t="s">
        <v>605</v>
      </c>
    </row>
    <row r="260" spans="2:27" ht="39">
      <c r="B260" s="117" t="s">
        <v>1726</v>
      </c>
      <c r="C260" s="111" t="s">
        <v>1660</v>
      </c>
      <c r="D260" s="58" t="s">
        <v>1798</v>
      </c>
      <c r="E260" t="s">
        <v>605</v>
      </c>
      <c r="U260" s="72" t="s">
        <v>605</v>
      </c>
      <c r="AA260" s="72" t="s">
        <v>18</v>
      </c>
    </row>
    <row r="261" spans="2:27" ht="26">
      <c r="B261" s="117" t="s">
        <v>973</v>
      </c>
      <c r="C261" s="111" t="s">
        <v>1661</v>
      </c>
      <c r="D261" s="58" t="s">
        <v>1798</v>
      </c>
      <c r="E261" t="s">
        <v>605</v>
      </c>
      <c r="U261" s="72" t="s">
        <v>605</v>
      </c>
      <c r="AA261" s="72" t="s">
        <v>18</v>
      </c>
    </row>
    <row r="262" spans="2:27" ht="78">
      <c r="B262" s="117" t="s">
        <v>1730</v>
      </c>
      <c r="C262" s="103" t="s">
        <v>1662</v>
      </c>
      <c r="D262" s="80" t="s">
        <v>1798</v>
      </c>
      <c r="E262" t="s">
        <v>605</v>
      </c>
      <c r="U262" s="72" t="s">
        <v>605</v>
      </c>
      <c r="AA262" s="72" t="s">
        <v>605</v>
      </c>
    </row>
    <row r="263" spans="2:27" ht="39">
      <c r="B263" s="117" t="s">
        <v>986</v>
      </c>
      <c r="C263" s="103" t="s">
        <v>1663</v>
      </c>
      <c r="D263" s="80" t="s">
        <v>1798</v>
      </c>
      <c r="E263" t="s">
        <v>605</v>
      </c>
      <c r="U263" s="72" t="s">
        <v>605</v>
      </c>
      <c r="AA263" s="72" t="s">
        <v>605</v>
      </c>
    </row>
    <row r="264" spans="2:27" ht="39">
      <c r="B264" s="117" t="s">
        <v>1731</v>
      </c>
      <c r="C264" s="103" t="s">
        <v>1664</v>
      </c>
      <c r="D264" s="80" t="s">
        <v>1798</v>
      </c>
      <c r="E264" t="s">
        <v>605</v>
      </c>
      <c r="U264" s="72" t="s">
        <v>605</v>
      </c>
      <c r="AA264" s="72" t="s">
        <v>605</v>
      </c>
    </row>
    <row r="265" spans="2:27" ht="26">
      <c r="B265" s="117" t="s">
        <v>1732</v>
      </c>
      <c r="C265" s="111" t="s">
        <v>1665</v>
      </c>
      <c r="D265" s="58" t="s">
        <v>1798</v>
      </c>
      <c r="E265" t="s">
        <v>605</v>
      </c>
      <c r="U265" s="72" t="s">
        <v>605</v>
      </c>
      <c r="AA265" s="72" t="s">
        <v>605</v>
      </c>
    </row>
    <row r="266" spans="2:27" ht="26">
      <c r="B266" s="117" t="s">
        <v>1733</v>
      </c>
      <c r="C266" s="111" t="s">
        <v>1666</v>
      </c>
      <c r="D266" s="58" t="s">
        <v>1798</v>
      </c>
      <c r="E266" t="s">
        <v>605</v>
      </c>
      <c r="U266" s="72" t="s">
        <v>605</v>
      </c>
      <c r="AA266" s="72" t="s">
        <v>18</v>
      </c>
    </row>
    <row r="267" spans="2:27" ht="26">
      <c r="B267" s="117" t="s">
        <v>1734</v>
      </c>
      <c r="C267" s="103" t="s">
        <v>1667</v>
      </c>
      <c r="D267" s="80" t="s">
        <v>1798</v>
      </c>
      <c r="E267" t="s">
        <v>605</v>
      </c>
      <c r="U267" s="72" t="s">
        <v>605</v>
      </c>
      <c r="AA267" s="72" t="s">
        <v>18</v>
      </c>
    </row>
    <row r="268" spans="2:27" ht="39">
      <c r="B268" s="117" t="s">
        <v>1735</v>
      </c>
      <c r="C268" s="111" t="s">
        <v>1668</v>
      </c>
      <c r="D268" s="58" t="s">
        <v>1798</v>
      </c>
      <c r="E268" t="s">
        <v>605</v>
      </c>
      <c r="U268" s="72" t="s">
        <v>605</v>
      </c>
      <c r="AA268" s="72" t="s">
        <v>605</v>
      </c>
    </row>
    <row r="269" spans="2:27" ht="39">
      <c r="B269" s="117" t="s">
        <v>1718</v>
      </c>
      <c r="C269" s="111" t="s">
        <v>1669</v>
      </c>
      <c r="D269" s="58" t="s">
        <v>1798</v>
      </c>
      <c r="E269" t="s">
        <v>605</v>
      </c>
      <c r="U269" s="72" t="s">
        <v>605</v>
      </c>
      <c r="AA269" s="72" t="s">
        <v>605</v>
      </c>
    </row>
    <row r="270" spans="2:27" ht="39">
      <c r="B270" s="117" t="s">
        <v>1736</v>
      </c>
      <c r="C270" s="111" t="s">
        <v>1670</v>
      </c>
      <c r="D270" s="58" t="s">
        <v>1798</v>
      </c>
      <c r="E270" t="s">
        <v>605</v>
      </c>
      <c r="U270" s="72" t="s">
        <v>605</v>
      </c>
      <c r="AA270" s="72" t="s">
        <v>605</v>
      </c>
    </row>
    <row r="271" spans="2:27" ht="39">
      <c r="B271" s="117" t="s">
        <v>1737</v>
      </c>
      <c r="C271" s="111" t="s">
        <v>1671</v>
      </c>
      <c r="D271" s="58" t="s">
        <v>1798</v>
      </c>
      <c r="E271" t="s">
        <v>605</v>
      </c>
      <c r="U271" s="72" t="s">
        <v>605</v>
      </c>
      <c r="AA271" s="72" t="s">
        <v>605</v>
      </c>
    </row>
    <row r="272" spans="2:27" ht="52">
      <c r="B272" s="117" t="s">
        <v>1738</v>
      </c>
      <c r="C272" s="111" t="s">
        <v>1672</v>
      </c>
      <c r="D272" s="58" t="s">
        <v>1798</v>
      </c>
      <c r="E272" t="s">
        <v>605</v>
      </c>
      <c r="U272" s="72" t="s">
        <v>605</v>
      </c>
      <c r="AA272" s="72" t="s">
        <v>605</v>
      </c>
    </row>
    <row r="273" spans="2:27" ht="78">
      <c r="B273" s="117" t="s">
        <v>1750</v>
      </c>
      <c r="C273" s="109" t="s">
        <v>1673</v>
      </c>
      <c r="D273" s="57" t="s">
        <v>1798</v>
      </c>
      <c r="E273" t="s">
        <v>605</v>
      </c>
      <c r="U273" s="72" t="s">
        <v>605</v>
      </c>
      <c r="AA273" s="72" t="s">
        <v>605</v>
      </c>
    </row>
    <row r="274" spans="2:27" ht="52">
      <c r="B274" s="117" t="s">
        <v>1739</v>
      </c>
      <c r="C274" s="111" t="s">
        <v>1674</v>
      </c>
      <c r="D274" s="58" t="s">
        <v>1798</v>
      </c>
      <c r="E274" t="s">
        <v>605</v>
      </c>
      <c r="U274" s="72" t="s">
        <v>605</v>
      </c>
      <c r="AA274" s="72" t="s">
        <v>605</v>
      </c>
    </row>
    <row r="275" spans="2:27" ht="52">
      <c r="B275" s="117" t="s">
        <v>1740</v>
      </c>
      <c r="C275" s="111" t="s">
        <v>1675</v>
      </c>
      <c r="D275" s="58" t="s">
        <v>1798</v>
      </c>
      <c r="E275" t="s">
        <v>605</v>
      </c>
      <c r="U275" s="72" t="s">
        <v>605</v>
      </c>
      <c r="AA275" s="72" t="s">
        <v>605</v>
      </c>
    </row>
    <row r="276" spans="2:27" ht="39">
      <c r="B276" s="117" t="s">
        <v>1741</v>
      </c>
      <c r="C276" s="111" t="s">
        <v>1676</v>
      </c>
      <c r="D276" s="58" t="s">
        <v>1798</v>
      </c>
      <c r="E276" t="s">
        <v>605</v>
      </c>
      <c r="U276" s="72" t="s">
        <v>605</v>
      </c>
      <c r="AA276" s="72" t="s">
        <v>605</v>
      </c>
    </row>
    <row r="277" spans="2:27" ht="39">
      <c r="B277" s="117" t="s">
        <v>1751</v>
      </c>
      <c r="C277" s="111" t="s">
        <v>1677</v>
      </c>
      <c r="D277" s="58" t="s">
        <v>1798</v>
      </c>
      <c r="E277" t="s">
        <v>605</v>
      </c>
      <c r="U277" s="72" t="s">
        <v>605</v>
      </c>
      <c r="AA277" s="72" t="s">
        <v>605</v>
      </c>
    </row>
    <row r="278" spans="2:27" ht="39">
      <c r="B278" s="117" t="s">
        <v>1752</v>
      </c>
      <c r="C278" s="111" t="s">
        <v>1678</v>
      </c>
      <c r="D278" s="58" t="s">
        <v>1798</v>
      </c>
      <c r="E278" t="s">
        <v>605</v>
      </c>
      <c r="U278" s="72" t="s">
        <v>605</v>
      </c>
      <c r="AA278" s="72" t="s">
        <v>605</v>
      </c>
    </row>
    <row r="279" spans="2:27" ht="39">
      <c r="B279" s="117" t="s">
        <v>1753</v>
      </c>
      <c r="C279" s="111" t="s">
        <v>1679</v>
      </c>
      <c r="D279" s="58" t="s">
        <v>1798</v>
      </c>
      <c r="E279" t="s">
        <v>605</v>
      </c>
      <c r="U279" s="72" t="s">
        <v>605</v>
      </c>
      <c r="AA279" s="72" t="s">
        <v>605</v>
      </c>
    </row>
    <row r="280" spans="2:27" ht="52">
      <c r="B280" s="117" t="s">
        <v>1754</v>
      </c>
      <c r="C280" s="111" t="s">
        <v>1680</v>
      </c>
      <c r="D280" s="58" t="s">
        <v>1798</v>
      </c>
      <c r="E280" t="s">
        <v>605</v>
      </c>
      <c r="U280" s="72" t="s">
        <v>605</v>
      </c>
      <c r="AA280" s="72" t="s">
        <v>605</v>
      </c>
    </row>
    <row r="281" spans="2:27" ht="65">
      <c r="B281" s="117" t="s">
        <v>1755</v>
      </c>
      <c r="C281" s="109" t="s">
        <v>1681</v>
      </c>
      <c r="D281" s="57" t="s">
        <v>1798</v>
      </c>
      <c r="E281" t="s">
        <v>605</v>
      </c>
      <c r="U281" s="72" t="s">
        <v>605</v>
      </c>
      <c r="AA281" s="72" t="s">
        <v>605</v>
      </c>
    </row>
    <row r="282" spans="2:27" ht="52">
      <c r="B282" s="117" t="s">
        <v>1756</v>
      </c>
      <c r="C282" s="103" t="s">
        <v>1803</v>
      </c>
      <c r="D282" s="80" t="s">
        <v>1798</v>
      </c>
      <c r="E282" t="s">
        <v>605</v>
      </c>
      <c r="U282" s="72" t="s">
        <v>605</v>
      </c>
      <c r="AA282" s="72" t="s">
        <v>605</v>
      </c>
    </row>
    <row r="283" spans="2:27" ht="26">
      <c r="B283" s="117" t="s">
        <v>1757</v>
      </c>
      <c r="C283" s="109" t="s">
        <v>1682</v>
      </c>
      <c r="D283" s="57" t="s">
        <v>1798</v>
      </c>
      <c r="E283" t="s">
        <v>605</v>
      </c>
      <c r="U283" s="72" t="s">
        <v>605</v>
      </c>
      <c r="AA283" s="72" t="s">
        <v>605</v>
      </c>
    </row>
    <row r="284" spans="2:27" ht="26">
      <c r="B284" s="117" t="s">
        <v>1758</v>
      </c>
      <c r="C284" s="109" t="s">
        <v>1683</v>
      </c>
      <c r="D284" s="57" t="s">
        <v>1798</v>
      </c>
      <c r="E284" t="s">
        <v>605</v>
      </c>
      <c r="U284" s="72" t="s">
        <v>605</v>
      </c>
      <c r="AA284" s="72" t="s">
        <v>605</v>
      </c>
    </row>
    <row r="285" spans="2:27" ht="26">
      <c r="B285" s="117" t="s">
        <v>1759</v>
      </c>
      <c r="C285" s="109" t="s">
        <v>1684</v>
      </c>
      <c r="D285" s="57" t="s">
        <v>1798</v>
      </c>
      <c r="E285" t="s">
        <v>1832</v>
      </c>
      <c r="U285" s="72" t="s">
        <v>605</v>
      </c>
      <c r="AA285" s="72" t="s">
        <v>605</v>
      </c>
    </row>
    <row r="286" spans="2:27" ht="52">
      <c r="B286" s="117" t="s">
        <v>1720</v>
      </c>
      <c r="C286" s="109" t="s">
        <v>1685</v>
      </c>
      <c r="D286" s="57" t="s">
        <v>1798</v>
      </c>
      <c r="E286" t="s">
        <v>1832</v>
      </c>
      <c r="F286" t="s">
        <v>117</v>
      </c>
      <c r="U286" s="72" t="s">
        <v>605</v>
      </c>
      <c r="AA286" s="72" t="s">
        <v>605</v>
      </c>
    </row>
    <row r="287" spans="2:27" ht="39">
      <c r="B287" s="117" t="s">
        <v>1760</v>
      </c>
      <c r="C287" s="123" t="s">
        <v>1708</v>
      </c>
      <c r="D287" s="57" t="s">
        <v>1798</v>
      </c>
      <c r="E287" t="s">
        <v>1832</v>
      </c>
      <c r="F287" t="s">
        <v>1809</v>
      </c>
      <c r="U287" s="72" t="s">
        <v>605</v>
      </c>
      <c r="AA287" s="72" t="s">
        <v>605</v>
      </c>
    </row>
    <row r="288" spans="2:27" ht="26">
      <c r="B288" s="117" t="s">
        <v>1761</v>
      </c>
      <c r="C288" s="103" t="s">
        <v>1686</v>
      </c>
      <c r="D288" s="57" t="s">
        <v>1798</v>
      </c>
      <c r="E288" t="s">
        <v>1832</v>
      </c>
      <c r="F288" t="s">
        <v>1808</v>
      </c>
      <c r="U288" s="72" t="s">
        <v>605</v>
      </c>
      <c r="AA288" s="72" t="s">
        <v>605</v>
      </c>
    </row>
    <row r="289" spans="2:27" ht="26">
      <c r="B289" s="117" t="s">
        <v>1762</v>
      </c>
      <c r="C289" s="111" t="s">
        <v>1687</v>
      </c>
      <c r="D289" s="57" t="s">
        <v>1798</v>
      </c>
      <c r="E289" t="s">
        <v>1832</v>
      </c>
      <c r="F289" t="s">
        <v>1809</v>
      </c>
      <c r="U289" s="72" t="s">
        <v>605</v>
      </c>
      <c r="AA289" s="72" t="s">
        <v>605</v>
      </c>
    </row>
    <row r="290" spans="2:27" ht="26">
      <c r="B290" s="117" t="s">
        <v>1763</v>
      </c>
      <c r="C290" s="111" t="s">
        <v>1804</v>
      </c>
      <c r="D290" s="57" t="s">
        <v>1798</v>
      </c>
      <c r="F290" t="s">
        <v>1809</v>
      </c>
      <c r="U290" s="72" t="s">
        <v>605</v>
      </c>
      <c r="V290" s="72" t="s">
        <v>605</v>
      </c>
      <c r="AA290" s="72" t="s">
        <v>605</v>
      </c>
    </row>
    <row r="291" spans="2:27" ht="39">
      <c r="B291" s="117" t="s">
        <v>1749</v>
      </c>
      <c r="C291" s="111" t="s">
        <v>1805</v>
      </c>
      <c r="D291" s="57" t="s">
        <v>1798</v>
      </c>
      <c r="F291" t="s">
        <v>1809</v>
      </c>
      <c r="U291" s="72" t="s">
        <v>605</v>
      </c>
      <c r="V291" s="72" t="s">
        <v>605</v>
      </c>
      <c r="AA291" s="72" t="s">
        <v>605</v>
      </c>
    </row>
    <row r="292" spans="2:27" ht="15.5">
      <c r="B292" s="124" t="s">
        <v>505</v>
      </c>
      <c r="C292" s="103" t="s">
        <v>1688</v>
      </c>
      <c r="D292" s="57" t="s">
        <v>1798</v>
      </c>
      <c r="F292" t="s">
        <v>117</v>
      </c>
      <c r="U292" s="72" t="s">
        <v>605</v>
      </c>
      <c r="V292" s="72" t="s">
        <v>605</v>
      </c>
      <c r="AA292" s="72" t="s">
        <v>605</v>
      </c>
    </row>
    <row r="293" spans="2:27" ht="65">
      <c r="B293" s="117" t="s">
        <v>1748</v>
      </c>
      <c r="C293" s="103" t="s">
        <v>1689</v>
      </c>
      <c r="D293" s="57" t="s">
        <v>1798</v>
      </c>
      <c r="E293" t="s">
        <v>1832</v>
      </c>
      <c r="F293" t="s">
        <v>1808</v>
      </c>
      <c r="U293" s="72" t="s">
        <v>605</v>
      </c>
      <c r="AA293" s="72" t="s">
        <v>605</v>
      </c>
    </row>
    <row r="294" spans="2:27" ht="65">
      <c r="B294" s="117" t="s">
        <v>1747</v>
      </c>
      <c r="C294" s="103" t="s">
        <v>1690</v>
      </c>
      <c r="D294" s="57" t="s">
        <v>1798</v>
      </c>
      <c r="F294" t="s">
        <v>1809</v>
      </c>
      <c r="U294" s="72" t="s">
        <v>605</v>
      </c>
      <c r="V294" s="72" t="s">
        <v>605</v>
      </c>
      <c r="AA294" s="72" t="s">
        <v>605</v>
      </c>
    </row>
    <row r="295" spans="2:27" ht="39">
      <c r="B295" s="117" t="s">
        <v>1745</v>
      </c>
      <c r="C295" s="103" t="s">
        <v>1691</v>
      </c>
      <c r="D295" s="57" t="s">
        <v>1798</v>
      </c>
      <c r="F295" t="s">
        <v>166</v>
      </c>
      <c r="U295" s="72" t="s">
        <v>605</v>
      </c>
      <c r="V295" s="72" t="s">
        <v>605</v>
      </c>
      <c r="AA295" s="72" t="s">
        <v>605</v>
      </c>
    </row>
    <row r="296" spans="2:27" ht="26">
      <c r="B296" s="117" t="s">
        <v>1746</v>
      </c>
      <c r="C296" s="111" t="s">
        <v>1692</v>
      </c>
      <c r="D296" s="57" t="s">
        <v>1798</v>
      </c>
      <c r="F296" t="s">
        <v>334</v>
      </c>
      <c r="U296" s="72" t="s">
        <v>605</v>
      </c>
      <c r="V296" s="72" t="s">
        <v>605</v>
      </c>
      <c r="AA296" s="72" t="s">
        <v>605</v>
      </c>
    </row>
    <row r="297" spans="2:27" ht="52">
      <c r="B297" s="117" t="s">
        <v>1724</v>
      </c>
      <c r="C297" s="111" t="s">
        <v>1693</v>
      </c>
      <c r="D297" s="57" t="s">
        <v>1798</v>
      </c>
      <c r="F297" t="s">
        <v>334</v>
      </c>
      <c r="U297" s="72" t="s">
        <v>605</v>
      </c>
      <c r="V297" s="72" t="s">
        <v>605</v>
      </c>
      <c r="AA297" s="72" t="s">
        <v>605</v>
      </c>
    </row>
    <row r="298" spans="2:27" ht="15.5">
      <c r="B298" s="117" t="s">
        <v>1744</v>
      </c>
      <c r="C298" s="111" t="s">
        <v>1694</v>
      </c>
      <c r="D298" s="58"/>
      <c r="F298" t="s">
        <v>1810</v>
      </c>
      <c r="U298" s="72" t="s">
        <v>605</v>
      </c>
      <c r="V298" s="72" t="s">
        <v>605</v>
      </c>
      <c r="AA298" s="72" t="s">
        <v>605</v>
      </c>
    </row>
    <row r="299" spans="2:27" ht="15.5">
      <c r="B299" s="117" t="s">
        <v>1743</v>
      </c>
      <c r="C299" s="111" t="s">
        <v>1695</v>
      </c>
      <c r="D299" s="58"/>
      <c r="F299" t="s">
        <v>1811</v>
      </c>
      <c r="U299" s="72" t="s">
        <v>605</v>
      </c>
      <c r="V299" s="72" t="s">
        <v>605</v>
      </c>
      <c r="AA299" s="72" t="s">
        <v>605</v>
      </c>
    </row>
    <row r="300" spans="2:27" ht="15.5">
      <c r="B300" s="117" t="s">
        <v>1742</v>
      </c>
      <c r="C300" s="111" t="s">
        <v>1696</v>
      </c>
      <c r="D300" s="58"/>
      <c r="F300" t="s">
        <v>1811</v>
      </c>
      <c r="U300" s="72" t="s">
        <v>605</v>
      </c>
      <c r="V300" s="72" t="s">
        <v>605</v>
      </c>
      <c r="AA300" s="72" t="s">
        <v>605</v>
      </c>
    </row>
    <row r="301" spans="2:27" ht="39">
      <c r="B301" s="117" t="s">
        <v>1717</v>
      </c>
      <c r="C301" s="109" t="s">
        <v>1697</v>
      </c>
      <c r="D301" s="57" t="s">
        <v>1798</v>
      </c>
      <c r="F301" t="s">
        <v>334</v>
      </c>
      <c r="U301" s="72" t="s">
        <v>605</v>
      </c>
      <c r="V301" s="72" t="s">
        <v>605</v>
      </c>
      <c r="AA301" s="72" t="s">
        <v>605</v>
      </c>
    </row>
    <row r="302" spans="2:27" ht="26">
      <c r="B302" s="117" t="s">
        <v>1716</v>
      </c>
      <c r="C302" s="109" t="s">
        <v>1698</v>
      </c>
      <c r="D302" s="57" t="s">
        <v>1798</v>
      </c>
      <c r="F302" t="s">
        <v>334</v>
      </c>
      <c r="U302" s="72" t="s">
        <v>605</v>
      </c>
      <c r="V302" s="72" t="s">
        <v>605</v>
      </c>
      <c r="AA302" s="72" t="s">
        <v>605</v>
      </c>
    </row>
    <row r="303" spans="2:27" ht="26">
      <c r="B303" s="117" t="s">
        <v>1714</v>
      </c>
      <c r="C303" s="109" t="s">
        <v>1699</v>
      </c>
      <c r="D303" s="57"/>
      <c r="F303" t="s">
        <v>1810</v>
      </c>
      <c r="U303" s="72" t="s">
        <v>605</v>
      </c>
      <c r="V303" s="72" t="s">
        <v>605</v>
      </c>
      <c r="AA303" s="72" t="s">
        <v>605</v>
      </c>
    </row>
    <row r="304" spans="2:27" ht="15.5">
      <c r="B304" s="117" t="s">
        <v>1715</v>
      </c>
      <c r="C304" s="103" t="s">
        <v>1700</v>
      </c>
      <c r="D304" s="80"/>
      <c r="F304" t="s">
        <v>1811</v>
      </c>
      <c r="U304" s="72" t="s">
        <v>605</v>
      </c>
      <c r="V304" s="72" t="s">
        <v>605</v>
      </c>
      <c r="AA304" s="72" t="s">
        <v>605</v>
      </c>
    </row>
    <row r="305" spans="2:27" ht="39">
      <c r="B305" s="117" t="s">
        <v>1713</v>
      </c>
      <c r="C305" s="109" t="s">
        <v>1701</v>
      </c>
      <c r="D305" s="57"/>
      <c r="F305" t="s">
        <v>1810</v>
      </c>
      <c r="U305" s="72" t="s">
        <v>605</v>
      </c>
      <c r="V305" s="72" t="s">
        <v>605</v>
      </c>
      <c r="AA305" s="72" t="s">
        <v>605</v>
      </c>
    </row>
    <row r="306" spans="2:27" ht="39">
      <c r="B306" s="117" t="s">
        <v>1709</v>
      </c>
      <c r="C306" s="109" t="s">
        <v>1702</v>
      </c>
      <c r="D306" s="57"/>
      <c r="F306" t="s">
        <v>1810</v>
      </c>
      <c r="U306" s="72" t="s">
        <v>605</v>
      </c>
      <c r="V306" s="72" t="s">
        <v>605</v>
      </c>
      <c r="AA306" s="72" t="s">
        <v>605</v>
      </c>
    </row>
    <row r="307" spans="2:27" ht="15.5">
      <c r="B307" s="117" t="s">
        <v>1710</v>
      </c>
      <c r="C307" s="106" t="s">
        <v>1703</v>
      </c>
      <c r="D307" s="81"/>
      <c r="F307" t="s">
        <v>1811</v>
      </c>
      <c r="U307" s="72" t="s">
        <v>605</v>
      </c>
      <c r="V307" s="72" t="s">
        <v>605</v>
      </c>
      <c r="AA307" s="72" t="s">
        <v>605</v>
      </c>
    </row>
    <row r="308" spans="2:27" ht="39">
      <c r="B308" s="117" t="s">
        <v>1711</v>
      </c>
      <c r="C308" s="103" t="s">
        <v>1704</v>
      </c>
      <c r="D308" s="57" t="s">
        <v>1798</v>
      </c>
      <c r="F308" t="s">
        <v>1810</v>
      </c>
      <c r="U308" s="72" t="s">
        <v>605</v>
      </c>
      <c r="V308" s="72" t="s">
        <v>605</v>
      </c>
      <c r="AA308" s="72" t="s">
        <v>605</v>
      </c>
    </row>
    <row r="309" spans="2:27" ht="52">
      <c r="B309" s="117" t="s">
        <v>1712</v>
      </c>
      <c r="C309" s="106" t="s">
        <v>1705</v>
      </c>
      <c r="D309" s="57" t="s">
        <v>1798</v>
      </c>
      <c r="F309" t="s">
        <v>1810</v>
      </c>
      <c r="U309" s="72" t="s">
        <v>605</v>
      </c>
      <c r="V309" s="72" t="s">
        <v>605</v>
      </c>
      <c r="AA309" s="72" t="s">
        <v>605</v>
      </c>
    </row>
    <row r="310" spans="2:27" ht="15.5">
      <c r="B310" s="117" t="s">
        <v>1217</v>
      </c>
      <c r="C310" s="111" t="s">
        <v>1706</v>
      </c>
      <c r="D310" s="58"/>
      <c r="F310" t="s">
        <v>334</v>
      </c>
      <c r="U310" s="72" t="s">
        <v>605</v>
      </c>
      <c r="V310" s="72" t="s">
        <v>605</v>
      </c>
      <c r="AA310" s="72" t="s">
        <v>605</v>
      </c>
    </row>
    <row r="311" spans="2:27" ht="28">
      <c r="C311" s="130" t="s">
        <v>1860</v>
      </c>
      <c r="E311" t="s">
        <v>605</v>
      </c>
      <c r="V311" s="72" t="s">
        <v>605</v>
      </c>
    </row>
    <row r="312" spans="2:27" ht="28">
      <c r="C312" s="130" t="s">
        <v>1861</v>
      </c>
      <c r="E312" t="s">
        <v>605</v>
      </c>
      <c r="V312" s="72" t="s">
        <v>605</v>
      </c>
    </row>
    <row r="313" spans="2:27" ht="28">
      <c r="C313" s="130" t="s">
        <v>1862</v>
      </c>
      <c r="E313" t="s">
        <v>605</v>
      </c>
      <c r="V313" s="72" t="s">
        <v>605</v>
      </c>
    </row>
    <row r="314" spans="2:27" ht="28">
      <c r="C314" s="130" t="s">
        <v>1863</v>
      </c>
      <c r="E314" t="s">
        <v>605</v>
      </c>
      <c r="V314" s="72" t="s">
        <v>605</v>
      </c>
    </row>
    <row r="315" spans="2:27" ht="28">
      <c r="C315" s="130" t="s">
        <v>1864</v>
      </c>
      <c r="E315" t="s">
        <v>605</v>
      </c>
      <c r="V315" s="72" t="s">
        <v>605</v>
      </c>
    </row>
    <row r="316" spans="2:27" ht="28">
      <c r="C316" s="130" t="s">
        <v>1865</v>
      </c>
      <c r="E316" t="s">
        <v>605</v>
      </c>
      <c r="V316" s="72" t="s">
        <v>605</v>
      </c>
    </row>
    <row r="317" spans="2:27" ht="28">
      <c r="C317" s="130" t="s">
        <v>1866</v>
      </c>
      <c r="E317" t="s">
        <v>605</v>
      </c>
      <c r="V317" s="72" t="s">
        <v>605</v>
      </c>
    </row>
    <row r="318" spans="2:27" ht="28">
      <c r="C318" s="130" t="s">
        <v>1867</v>
      </c>
      <c r="E318" t="s">
        <v>605</v>
      </c>
      <c r="V318" s="72" t="s">
        <v>605</v>
      </c>
    </row>
    <row r="319" spans="2:27" ht="42">
      <c r="C319" s="130" t="s">
        <v>1868</v>
      </c>
      <c r="E319" t="s">
        <v>605</v>
      </c>
      <c r="V319" s="72" t="s">
        <v>605</v>
      </c>
    </row>
    <row r="320" spans="2:27" ht="28">
      <c r="C320" s="130" t="s">
        <v>1869</v>
      </c>
      <c r="E320" t="s">
        <v>605</v>
      </c>
      <c r="V320" s="72" t="s">
        <v>605</v>
      </c>
    </row>
    <row r="321" spans="3:22">
      <c r="C321" s="130" t="s">
        <v>1870</v>
      </c>
      <c r="E321" t="s">
        <v>605</v>
      </c>
      <c r="V321" s="72" t="s">
        <v>605</v>
      </c>
    </row>
    <row r="322" spans="3:22">
      <c r="C322" s="131" t="s">
        <v>1871</v>
      </c>
      <c r="E322" t="s">
        <v>605</v>
      </c>
      <c r="V322" s="72" t="s">
        <v>605</v>
      </c>
    </row>
    <row r="323" spans="3:22" ht="28">
      <c r="C323" s="130" t="s">
        <v>1872</v>
      </c>
      <c r="E323" t="s">
        <v>605</v>
      </c>
      <c r="V323" s="72" t="s">
        <v>605</v>
      </c>
    </row>
    <row r="324" spans="3:22" ht="28">
      <c r="C324" s="130" t="s">
        <v>1873</v>
      </c>
      <c r="E324" t="s">
        <v>605</v>
      </c>
      <c r="V324" s="72" t="s">
        <v>605</v>
      </c>
    </row>
    <row r="325" spans="3:22" ht="28">
      <c r="C325" s="130" t="s">
        <v>1874</v>
      </c>
      <c r="E325" t="s">
        <v>605</v>
      </c>
      <c r="V325" s="72" t="s">
        <v>605</v>
      </c>
    </row>
    <row r="326" spans="3:22" ht="28">
      <c r="C326" s="130" t="s">
        <v>1875</v>
      </c>
      <c r="E326" t="s">
        <v>605</v>
      </c>
      <c r="V326" s="72" t="s">
        <v>605</v>
      </c>
    </row>
    <row r="327" spans="3:22" ht="42">
      <c r="C327" s="130" t="s">
        <v>1876</v>
      </c>
      <c r="E327" t="s">
        <v>605</v>
      </c>
      <c r="V327" s="72" t="s">
        <v>605</v>
      </c>
    </row>
    <row r="328" spans="3:22" ht="28">
      <c r="C328" s="130" t="s">
        <v>1877</v>
      </c>
      <c r="E328" t="s">
        <v>605</v>
      </c>
      <c r="V328" s="72" t="s">
        <v>605</v>
      </c>
    </row>
    <row r="329" spans="3:22" ht="29">
      <c r="C329" s="132" t="s">
        <v>1878</v>
      </c>
      <c r="V329" s="72" t="s">
        <v>605</v>
      </c>
    </row>
    <row r="330" spans="3:22">
      <c r="C330" s="130" t="s">
        <v>1879</v>
      </c>
      <c r="V330" s="72" t="s">
        <v>605</v>
      </c>
    </row>
    <row r="331" spans="3:22" ht="42">
      <c r="C331" s="130" t="s">
        <v>1880</v>
      </c>
      <c r="V331" s="72" t="s">
        <v>605</v>
      </c>
    </row>
    <row r="332" spans="3:22">
      <c r="C332" s="130" t="s">
        <v>1881</v>
      </c>
      <c r="V332" s="72" t="s">
        <v>605</v>
      </c>
    </row>
    <row r="333" spans="3:22" ht="28">
      <c r="C333" s="130" t="s">
        <v>1882</v>
      </c>
      <c r="E333" t="s">
        <v>605</v>
      </c>
      <c r="V333" s="72" t="s">
        <v>605</v>
      </c>
    </row>
    <row r="334" spans="3:22" ht="28">
      <c r="C334" s="130" t="s">
        <v>1883</v>
      </c>
      <c r="E334" t="s">
        <v>605</v>
      </c>
      <c r="V334" s="72" t="s">
        <v>605</v>
      </c>
    </row>
    <row r="335" spans="3:22" ht="28">
      <c r="C335" s="130" t="s">
        <v>1884</v>
      </c>
      <c r="E335" t="s">
        <v>605</v>
      </c>
      <c r="V335" s="72" t="s">
        <v>605</v>
      </c>
    </row>
    <row r="336" spans="3:22" ht="28">
      <c r="C336" s="130" t="s">
        <v>1885</v>
      </c>
      <c r="V336" s="72" t="s">
        <v>605</v>
      </c>
    </row>
    <row r="337" spans="3:22" ht="28">
      <c r="C337" s="130" t="s">
        <v>1886</v>
      </c>
      <c r="V337" s="72" t="s">
        <v>605</v>
      </c>
    </row>
    <row r="338" spans="3:22" ht="28">
      <c r="C338" s="130" t="s">
        <v>1887</v>
      </c>
      <c r="V338" s="72" t="s">
        <v>605</v>
      </c>
    </row>
    <row r="339" spans="3:22">
      <c r="C339" s="130" t="s">
        <v>1888</v>
      </c>
      <c r="E339" t="s">
        <v>605</v>
      </c>
      <c r="V339" s="72" t="s">
        <v>605</v>
      </c>
    </row>
    <row r="340" spans="3:22">
      <c r="C340" s="130" t="s">
        <v>1889</v>
      </c>
      <c r="E340" t="s">
        <v>605</v>
      </c>
      <c r="V340" s="72" t="s">
        <v>605</v>
      </c>
    </row>
    <row r="341" spans="3:22">
      <c r="C341" s="130" t="s">
        <v>1890</v>
      </c>
      <c r="E341" t="s">
        <v>605</v>
      </c>
      <c r="V341" s="72" t="s">
        <v>605</v>
      </c>
    </row>
    <row r="342" spans="3:22">
      <c r="C342" s="130" t="s">
        <v>1891</v>
      </c>
      <c r="E342" t="s">
        <v>605</v>
      </c>
      <c r="V342" s="72" t="s">
        <v>605</v>
      </c>
    </row>
    <row r="343" spans="3:22">
      <c r="C343" s="130" t="s">
        <v>1892</v>
      </c>
      <c r="E343" t="s">
        <v>605</v>
      </c>
      <c r="V343" s="72" t="s">
        <v>605</v>
      </c>
    </row>
    <row r="344" spans="3:22" ht="28">
      <c r="C344" s="130" t="s">
        <v>1893</v>
      </c>
      <c r="E344" t="s">
        <v>605</v>
      </c>
      <c r="V344" s="72" t="s">
        <v>605</v>
      </c>
    </row>
    <row r="345" spans="3:22">
      <c r="C345" s="36" t="s">
        <v>1894</v>
      </c>
      <c r="E345" t="s">
        <v>605</v>
      </c>
      <c r="V345" s="72" t="s">
        <v>605</v>
      </c>
    </row>
    <row r="346" spans="3:22" ht="28">
      <c r="C346" s="36" t="s">
        <v>1895</v>
      </c>
      <c r="E346" t="s">
        <v>605</v>
      </c>
      <c r="V346" s="72" t="s">
        <v>605</v>
      </c>
    </row>
    <row r="347" spans="3:22" ht="28">
      <c r="C347" s="36" t="s">
        <v>1896</v>
      </c>
      <c r="V347" s="72" t="s">
        <v>605</v>
      </c>
    </row>
    <row r="348" spans="3:22" ht="28">
      <c r="C348" s="36" t="s">
        <v>1897</v>
      </c>
      <c r="V348" s="72" t="s">
        <v>605</v>
      </c>
    </row>
    <row r="349" spans="3:22" ht="28">
      <c r="C349" s="36" t="s">
        <v>1898</v>
      </c>
      <c r="V349" s="72" t="s">
        <v>605</v>
      </c>
    </row>
    <row r="350" spans="3:22">
      <c r="C350" s="36" t="s">
        <v>1899</v>
      </c>
      <c r="V350" s="72" t="s">
        <v>605</v>
      </c>
    </row>
    <row r="351" spans="3:22" ht="28">
      <c r="C351" s="36" t="s">
        <v>1900</v>
      </c>
      <c r="V351" s="72" t="s">
        <v>605</v>
      </c>
    </row>
    <row r="352" spans="3:22" ht="28">
      <c r="C352" s="133" t="s">
        <v>1901</v>
      </c>
      <c r="V352" s="72" t="s">
        <v>605</v>
      </c>
    </row>
    <row r="353" spans="2:28">
      <c r="C353" s="133" t="s">
        <v>1902</v>
      </c>
      <c r="V353" s="72" t="s">
        <v>605</v>
      </c>
    </row>
    <row r="354" spans="2:28" ht="28">
      <c r="C354" s="133" t="s">
        <v>1903</v>
      </c>
      <c r="V354" s="72" t="s">
        <v>605</v>
      </c>
    </row>
    <row r="355" spans="2:28">
      <c r="C355" s="133" t="s">
        <v>1904</v>
      </c>
      <c r="V355" s="72" t="s">
        <v>605</v>
      </c>
    </row>
    <row r="356" spans="2:28">
      <c r="C356" s="36" t="s">
        <v>1905</v>
      </c>
      <c r="V356" s="72" t="s">
        <v>605</v>
      </c>
    </row>
    <row r="357" spans="2:28">
      <c r="C357" s="36" t="s">
        <v>1906</v>
      </c>
      <c r="V357" s="72" t="s">
        <v>605</v>
      </c>
    </row>
    <row r="358" spans="2:28">
      <c r="V358" s="72" t="s">
        <v>18</v>
      </c>
    </row>
    <row r="359" spans="2:28" ht="15.5">
      <c r="B359" s="143" t="s">
        <v>2048</v>
      </c>
      <c r="W359" s="72" t="s">
        <v>605</v>
      </c>
      <c r="AA359" s="72" t="s">
        <v>18</v>
      </c>
    </row>
    <row r="360" spans="2:28" ht="47.5" customHeight="1">
      <c r="C360" s="144" t="s">
        <v>2049</v>
      </c>
      <c r="W360" s="72" t="s">
        <v>605</v>
      </c>
      <c r="AA360" s="72" t="s">
        <v>18</v>
      </c>
    </row>
    <row r="361" spans="2:28" ht="29">
      <c r="B361" s="145"/>
      <c r="C361" s="40" t="s">
        <v>2050</v>
      </c>
      <c r="W361" s="72" t="s">
        <v>2051</v>
      </c>
      <c r="AA361" s="72" t="s">
        <v>18</v>
      </c>
    </row>
    <row r="362" spans="2:28" ht="43.5">
      <c r="B362" s="145"/>
      <c r="C362" s="40" t="s">
        <v>2056</v>
      </c>
      <c r="W362" s="72" t="s">
        <v>2051</v>
      </c>
      <c r="AA362" s="72" t="s">
        <v>18</v>
      </c>
    </row>
    <row r="363" spans="2:28">
      <c r="AA363" s="72" t="s">
        <v>18</v>
      </c>
    </row>
    <row r="364" spans="2:28" ht="39.5" thickBot="1">
      <c r="B364" s="136" t="s">
        <v>1983</v>
      </c>
      <c r="C364" s="111" t="s">
        <v>1984</v>
      </c>
      <c r="D364" s="58"/>
      <c r="O364"/>
      <c r="P364"/>
      <c r="Q364"/>
      <c r="R364"/>
      <c r="S364"/>
      <c r="T364"/>
      <c r="U364"/>
      <c r="V364"/>
      <c r="W364"/>
      <c r="X364"/>
      <c r="Y364"/>
      <c r="Z364"/>
      <c r="AA364" t="s">
        <v>605</v>
      </c>
      <c r="AB364"/>
    </row>
    <row r="365" spans="2:28" ht="16" thickBot="1">
      <c r="B365" s="146" t="s">
        <v>2155</v>
      </c>
      <c r="C365" s="147" t="s">
        <v>2156</v>
      </c>
      <c r="D365" t="s">
        <v>1797</v>
      </c>
      <c r="X365" s="72" t="s">
        <v>605</v>
      </c>
      <c r="AA365" s="72" t="s">
        <v>18</v>
      </c>
    </row>
    <row r="366" spans="2:28" ht="19" thickBot="1">
      <c r="B366" s="148" t="s">
        <v>2157</v>
      </c>
      <c r="C366" s="149" t="s">
        <v>2158</v>
      </c>
      <c r="X366" s="72" t="s">
        <v>605</v>
      </c>
      <c r="AA366" s="72" t="s">
        <v>18</v>
      </c>
    </row>
    <row r="367" spans="2:28" ht="16" thickBot="1">
      <c r="B367" s="150" t="s">
        <v>2159</v>
      </c>
      <c r="C367" s="151" t="s">
        <v>446</v>
      </c>
      <c r="D367" t="s">
        <v>1797</v>
      </c>
      <c r="X367" s="72" t="s">
        <v>605</v>
      </c>
      <c r="AA367" s="72" t="s">
        <v>18</v>
      </c>
    </row>
    <row r="368" spans="2:28" ht="16" thickBot="1">
      <c r="B368" s="152" t="s">
        <v>2160</v>
      </c>
      <c r="C368" s="153" t="s">
        <v>2161</v>
      </c>
      <c r="X368" s="72" t="s">
        <v>605</v>
      </c>
    </row>
    <row r="369" spans="2:25" ht="16" thickBot="1">
      <c r="B369" s="154" t="s">
        <v>2162</v>
      </c>
      <c r="C369" s="155" t="s">
        <v>438</v>
      </c>
      <c r="D369" t="s">
        <v>1797</v>
      </c>
      <c r="X369" s="72" t="s">
        <v>605</v>
      </c>
    </row>
    <row r="370" spans="2:25" ht="16" thickBot="1">
      <c r="B370" s="152" t="s">
        <v>2163</v>
      </c>
      <c r="C370" s="156" t="s">
        <v>440</v>
      </c>
      <c r="X370" s="72" t="s">
        <v>605</v>
      </c>
    </row>
    <row r="371" spans="2:25" ht="16" thickBot="1">
      <c r="B371" s="154" t="s">
        <v>449</v>
      </c>
      <c r="C371" s="151" t="s">
        <v>450</v>
      </c>
      <c r="D371" t="s">
        <v>1797</v>
      </c>
      <c r="X371" s="72" t="s">
        <v>605</v>
      </c>
    </row>
    <row r="372" spans="2:25" ht="16" thickBot="1">
      <c r="B372" s="152" t="s">
        <v>2164</v>
      </c>
      <c r="C372" s="153" t="s">
        <v>797</v>
      </c>
      <c r="X372" s="72" t="s">
        <v>605</v>
      </c>
    </row>
    <row r="373" spans="2:25" ht="62.5" thickBot="1">
      <c r="B373" s="150" t="s">
        <v>453</v>
      </c>
      <c r="C373" s="151" t="s">
        <v>454</v>
      </c>
      <c r="D373" t="s">
        <v>1797</v>
      </c>
      <c r="X373" s="72" t="s">
        <v>605</v>
      </c>
    </row>
    <row r="374" spans="2:25" ht="47" thickBot="1">
      <c r="B374" s="152" t="s">
        <v>2165</v>
      </c>
      <c r="C374" s="153" t="s">
        <v>2166</v>
      </c>
      <c r="X374" s="72" t="s">
        <v>605</v>
      </c>
    </row>
    <row r="375" spans="2:25" ht="16" thickBot="1">
      <c r="B375" s="154" t="s">
        <v>564</v>
      </c>
      <c r="C375" s="151" t="s">
        <v>2167</v>
      </c>
      <c r="D375" t="s">
        <v>1797</v>
      </c>
      <c r="X375" s="72" t="s">
        <v>605</v>
      </c>
    </row>
    <row r="376" spans="2:25" ht="16" thickBot="1">
      <c r="B376" s="157" t="s">
        <v>2168</v>
      </c>
      <c r="C376" s="158" t="s">
        <v>2169</v>
      </c>
      <c r="X376" s="72" t="s">
        <v>605</v>
      </c>
    </row>
    <row r="377" spans="2:25" ht="31.5" thickBot="1">
      <c r="B377" s="159"/>
      <c r="C377" s="160" t="s">
        <v>2170</v>
      </c>
      <c r="D377" t="s">
        <v>1797</v>
      </c>
      <c r="X377" s="72" t="s">
        <v>605</v>
      </c>
    </row>
    <row r="378" spans="2:25" ht="31.5" thickBot="1">
      <c r="B378" s="157"/>
      <c r="C378" s="158" t="s">
        <v>2171</v>
      </c>
      <c r="X378" s="72" t="s">
        <v>605</v>
      </c>
    </row>
    <row r="381" spans="2:25" ht="31">
      <c r="B381" s="85" t="s">
        <v>2253</v>
      </c>
      <c r="C381" s="58" t="s">
        <v>2252</v>
      </c>
      <c r="Y381" s="72" t="s">
        <v>605</v>
      </c>
    </row>
    <row r="382" spans="2:25" ht="31">
      <c r="B382" s="85" t="s">
        <v>2255</v>
      </c>
      <c r="C382" s="58" t="s">
        <v>2254</v>
      </c>
      <c r="Y382" s="72" t="s">
        <v>605</v>
      </c>
    </row>
    <row r="383" spans="2:25" ht="29">
      <c r="B383" s="85" t="s">
        <v>2257</v>
      </c>
      <c r="C383" s="132" t="s">
        <v>2256</v>
      </c>
      <c r="Y383" s="72" t="s">
        <v>605</v>
      </c>
    </row>
    <row r="384" spans="2:25" ht="15.5">
      <c r="B384" s="58" t="s">
        <v>2203</v>
      </c>
      <c r="C384" s="58" t="s">
        <v>784</v>
      </c>
      <c r="Y384" s="72" t="s">
        <v>605</v>
      </c>
    </row>
    <row r="385" spans="2:25" ht="15.5">
      <c r="B385" s="58" t="s">
        <v>2204</v>
      </c>
      <c r="C385" s="58" t="s">
        <v>2205</v>
      </c>
      <c r="Y385" s="72" t="s">
        <v>605</v>
      </c>
    </row>
    <row r="386" spans="2:25" ht="31">
      <c r="B386" s="58" t="s">
        <v>479</v>
      </c>
      <c r="C386" s="58" t="s">
        <v>2206</v>
      </c>
      <c r="Y386" s="72" t="s">
        <v>605</v>
      </c>
    </row>
    <row r="387" spans="2:25" ht="15.5">
      <c r="B387" s="58" t="s">
        <v>2207</v>
      </c>
      <c r="C387" s="58" t="s">
        <v>2208</v>
      </c>
      <c r="Y387" s="72" t="s">
        <v>605</v>
      </c>
    </row>
    <row r="388" spans="2:25" ht="31">
      <c r="B388" s="85" t="s">
        <v>2258</v>
      </c>
      <c r="C388" s="57" t="s">
        <v>2209</v>
      </c>
      <c r="Y388" s="72" t="s">
        <v>605</v>
      </c>
    </row>
    <row r="389" spans="2:25" ht="15">
      <c r="B389" s="163" t="s">
        <v>2210</v>
      </c>
      <c r="Y389" s="72" t="s">
        <v>605</v>
      </c>
    </row>
    <row r="390" spans="2:25" ht="31">
      <c r="B390" s="85" t="s">
        <v>2260</v>
      </c>
      <c r="C390" s="58" t="s">
        <v>2259</v>
      </c>
      <c r="Y390" s="72" t="s">
        <v>605</v>
      </c>
    </row>
    <row r="391" spans="2:25" ht="15.5">
      <c r="B391" s="58" t="s">
        <v>2244</v>
      </c>
      <c r="C391" s="58" t="s">
        <v>2263</v>
      </c>
      <c r="Y391" s="72" t="s">
        <v>605</v>
      </c>
    </row>
    <row r="392" spans="2:25" ht="15.5">
      <c r="B392" s="58" t="s">
        <v>2211</v>
      </c>
      <c r="C392" s="58" t="s">
        <v>2212</v>
      </c>
      <c r="Y392" s="72" t="s">
        <v>605</v>
      </c>
    </row>
    <row r="393" spans="2:25" ht="31">
      <c r="B393" s="58" t="s">
        <v>986</v>
      </c>
      <c r="C393" s="58" t="s">
        <v>2213</v>
      </c>
      <c r="Y393" s="72" t="s">
        <v>605</v>
      </c>
    </row>
    <row r="394" spans="2:25" ht="15.5">
      <c r="B394" s="58" t="s">
        <v>2245</v>
      </c>
      <c r="C394" s="58" t="s">
        <v>2214</v>
      </c>
      <c r="Y394" s="72" t="s">
        <v>605</v>
      </c>
    </row>
    <row r="395" spans="2:25" ht="31">
      <c r="B395" s="58" t="s">
        <v>2215</v>
      </c>
      <c r="C395" s="58" t="s">
        <v>808</v>
      </c>
      <c r="Y395" s="72" t="s">
        <v>605</v>
      </c>
    </row>
    <row r="396" spans="2:25" ht="31">
      <c r="B396" s="58" t="s">
        <v>2246</v>
      </c>
      <c r="C396" s="58" t="s">
        <v>2216</v>
      </c>
      <c r="Y396" s="72" t="s">
        <v>605</v>
      </c>
    </row>
    <row r="397" spans="2:25" ht="31">
      <c r="B397" s="58" t="s">
        <v>1739</v>
      </c>
      <c r="C397" s="58" t="s">
        <v>2217</v>
      </c>
      <c r="Y397" s="72" t="s">
        <v>605</v>
      </c>
    </row>
    <row r="398" spans="2:25" ht="15.5">
      <c r="B398" s="58" t="s">
        <v>2218</v>
      </c>
      <c r="C398" s="164" t="s">
        <v>2219</v>
      </c>
      <c r="Y398" s="72" t="s">
        <v>605</v>
      </c>
    </row>
    <row r="399" spans="2:25" ht="15.5">
      <c r="B399" s="58" t="s">
        <v>1813</v>
      </c>
      <c r="C399" s="58" t="s">
        <v>2220</v>
      </c>
      <c r="Y399" s="72" t="s">
        <v>605</v>
      </c>
    </row>
    <row r="400" spans="2:25" ht="31">
      <c r="B400" s="58" t="s">
        <v>2221</v>
      </c>
      <c r="C400" s="80" t="s">
        <v>2222</v>
      </c>
      <c r="Y400" s="72" t="s">
        <v>605</v>
      </c>
    </row>
    <row r="401" spans="2:25" ht="31">
      <c r="B401" s="58" t="s">
        <v>2223</v>
      </c>
      <c r="C401" s="80" t="s">
        <v>2224</v>
      </c>
      <c r="Y401" s="72" t="s">
        <v>605</v>
      </c>
    </row>
    <row r="402" spans="2:25" ht="15.5">
      <c r="B402" s="58" t="s">
        <v>2225</v>
      </c>
      <c r="C402" s="58" t="s">
        <v>2226</v>
      </c>
      <c r="Y402" s="72" t="s">
        <v>605</v>
      </c>
    </row>
    <row r="403" spans="2:25" ht="31">
      <c r="B403" s="58" t="s">
        <v>2227</v>
      </c>
      <c r="C403" s="58" t="s">
        <v>2228</v>
      </c>
      <c r="Y403" s="72" t="s">
        <v>605</v>
      </c>
    </row>
    <row r="404" spans="2:25" ht="15.5">
      <c r="B404" s="58" t="s">
        <v>2229</v>
      </c>
      <c r="C404" s="81" t="s">
        <v>2247</v>
      </c>
      <c r="Y404" s="72" t="s">
        <v>605</v>
      </c>
    </row>
    <row r="405" spans="2:25" ht="15.5">
      <c r="B405" s="57" t="s">
        <v>2248</v>
      </c>
      <c r="C405" s="57" t="s">
        <v>2230</v>
      </c>
      <c r="Y405" s="72" t="s">
        <v>605</v>
      </c>
    </row>
    <row r="406" spans="2:25" ht="15.5">
      <c r="B406" s="57" t="s">
        <v>2249</v>
      </c>
      <c r="C406" s="57" t="s">
        <v>2231</v>
      </c>
      <c r="Y406" s="72" t="s">
        <v>605</v>
      </c>
    </row>
    <row r="407" spans="2:25" ht="15.5">
      <c r="B407" s="58" t="s">
        <v>2232</v>
      </c>
      <c r="C407" s="57" t="s">
        <v>2261</v>
      </c>
      <c r="Y407" s="72" t="s">
        <v>605</v>
      </c>
    </row>
    <row r="408" spans="2:25" ht="15.5">
      <c r="B408" s="58" t="s">
        <v>2233</v>
      </c>
      <c r="C408" s="57" t="s">
        <v>2262</v>
      </c>
      <c r="Y408" s="72" t="s">
        <v>605</v>
      </c>
    </row>
    <row r="409" spans="2:25" ht="31">
      <c r="B409" s="58" t="s">
        <v>1714</v>
      </c>
      <c r="C409" s="57" t="s">
        <v>2234</v>
      </c>
      <c r="Y409" s="72" t="s">
        <v>605</v>
      </c>
    </row>
    <row r="410" spans="2:25" ht="31">
      <c r="B410" s="58" t="s">
        <v>2250</v>
      </c>
      <c r="C410" s="57" t="s">
        <v>2235</v>
      </c>
      <c r="Y410" s="72" t="s">
        <v>605</v>
      </c>
    </row>
    <row r="411" spans="2:25" ht="15.5">
      <c r="B411" s="58" t="s">
        <v>2251</v>
      </c>
      <c r="C411" s="58" t="s">
        <v>2236</v>
      </c>
      <c r="Y411" s="72" t="s">
        <v>605</v>
      </c>
    </row>
    <row r="412" spans="2:25" ht="15.5">
      <c r="B412" s="58" t="s">
        <v>2237</v>
      </c>
      <c r="C412" s="58" t="s">
        <v>2238</v>
      </c>
      <c r="Y412" s="72" t="s">
        <v>605</v>
      </c>
    </row>
    <row r="413" spans="2:25" ht="15.5">
      <c r="B413" s="58" t="s">
        <v>2239</v>
      </c>
      <c r="C413" s="58" t="s">
        <v>2240</v>
      </c>
      <c r="Y413" s="72" t="s">
        <v>605</v>
      </c>
    </row>
    <row r="414" spans="2:25" ht="15.5">
      <c r="B414" s="58" t="s">
        <v>2241</v>
      </c>
      <c r="C414" s="58" t="s">
        <v>2242</v>
      </c>
      <c r="Y414" s="72" t="s">
        <v>605</v>
      </c>
    </row>
    <row r="415" spans="2:25" ht="15.5">
      <c r="B415" s="58" t="s">
        <v>670</v>
      </c>
      <c r="C415" s="58" t="s">
        <v>2243</v>
      </c>
      <c r="Y415" s="72" t="s">
        <v>605</v>
      </c>
    </row>
  </sheetData>
  <autoFilter ref="B4:AC364"/>
  <hyperlinks>
    <hyperlink ref="C15" r:id="rId1" display="http://www.normacs.ru/Doclist/doc/11J25.html"/>
    <hyperlink ref="C2" r:id="rId2"/>
    <hyperlink ref="C329" r:id="rId3" display="http://www.normacs.ru/Doclist/doc/11J25.html"/>
    <hyperlink ref="C383" r:id="rId4" display="http://www.normacs.ru/Doclist/doc/11J25.html"/>
  </hyperlinks>
  <pageMargins left="0.7" right="0.7" top="0.75" bottom="0.75" header="0.3" footer="0.3"/>
  <pageSetup paperSize="9" orientation="portrait" horizontalDpi="360" verticalDpi="360"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tabColor theme="4" tint="0.59999389629810485"/>
  </sheetPr>
  <dimension ref="B3:G95"/>
  <sheetViews>
    <sheetView topLeftCell="A85" workbookViewId="0">
      <selection activeCell="C96" sqref="C96"/>
    </sheetView>
  </sheetViews>
  <sheetFormatPr baseColWidth="10" defaultRowHeight="14.5"/>
  <cols>
    <col min="2" max="2" width="31.54296875" customWidth="1"/>
    <col min="3" max="3" width="49.81640625" customWidth="1"/>
  </cols>
  <sheetData>
    <row r="3" spans="2:7" ht="30">
      <c r="B3" s="84" t="s">
        <v>433</v>
      </c>
      <c r="C3" s="4" t="s">
        <v>435</v>
      </c>
      <c r="D3" s="88"/>
      <c r="G3" s="72"/>
    </row>
    <row r="4" spans="2:7" ht="30">
      <c r="B4" s="84" t="s">
        <v>434</v>
      </c>
      <c r="C4" s="4" t="s">
        <v>436</v>
      </c>
      <c r="D4" s="88" t="s">
        <v>1796</v>
      </c>
      <c r="E4" t="s">
        <v>1794</v>
      </c>
      <c r="F4" t="s">
        <v>8</v>
      </c>
      <c r="G4" s="129" t="s">
        <v>1974</v>
      </c>
    </row>
    <row r="5" spans="2:7" ht="26">
      <c r="B5" s="101" t="s">
        <v>787</v>
      </c>
      <c r="C5" s="102" t="s">
        <v>786</v>
      </c>
      <c r="D5" s="89"/>
      <c r="F5" t="s">
        <v>1806</v>
      </c>
      <c r="G5" s="72" t="s">
        <v>605</v>
      </c>
    </row>
    <row r="6" spans="2:7" ht="15.5">
      <c r="B6" s="101" t="s">
        <v>839</v>
      </c>
      <c r="C6" s="102" t="s">
        <v>838</v>
      </c>
      <c r="D6" s="89"/>
      <c r="F6" t="s">
        <v>1806</v>
      </c>
      <c r="G6" s="72" t="s">
        <v>605</v>
      </c>
    </row>
    <row r="7" spans="2:7" ht="26">
      <c r="B7" s="101" t="s">
        <v>781</v>
      </c>
      <c r="C7" s="102" t="s">
        <v>780</v>
      </c>
      <c r="D7" s="89"/>
      <c r="F7" t="s">
        <v>1806</v>
      </c>
      <c r="G7" s="72" t="s">
        <v>605</v>
      </c>
    </row>
    <row r="8" spans="2:7" ht="39">
      <c r="B8" s="101" t="s">
        <v>783</v>
      </c>
      <c r="C8" s="102" t="s">
        <v>782</v>
      </c>
      <c r="D8" s="89"/>
      <c r="F8" t="s">
        <v>1806</v>
      </c>
      <c r="G8" s="72" t="s">
        <v>605</v>
      </c>
    </row>
    <row r="9" spans="2:7" ht="26">
      <c r="B9" s="101" t="s">
        <v>841</v>
      </c>
      <c r="C9" s="102" t="s">
        <v>842</v>
      </c>
      <c r="D9" s="89"/>
      <c r="F9" t="s">
        <v>1806</v>
      </c>
      <c r="G9" s="72" t="s">
        <v>605</v>
      </c>
    </row>
    <row r="10" spans="2:7" ht="26">
      <c r="B10" s="101" t="s">
        <v>785</v>
      </c>
      <c r="C10" s="103" t="s">
        <v>784</v>
      </c>
      <c r="D10" s="90"/>
      <c r="F10" t="s">
        <v>1806</v>
      </c>
      <c r="G10" s="72" t="s">
        <v>605</v>
      </c>
    </row>
    <row r="11" spans="2:7" ht="52">
      <c r="B11" s="101" t="s">
        <v>455</v>
      </c>
      <c r="C11" s="103" t="s">
        <v>456</v>
      </c>
      <c r="D11" s="90"/>
      <c r="F11" t="s">
        <v>1806</v>
      </c>
      <c r="G11" s="72" t="s">
        <v>605</v>
      </c>
    </row>
    <row r="12" spans="2:7" ht="39.5">
      <c r="B12" s="117" t="s">
        <v>968</v>
      </c>
      <c r="C12" s="118" t="s">
        <v>972</v>
      </c>
      <c r="D12" s="40"/>
      <c r="F12" t="s">
        <v>1809</v>
      </c>
      <c r="G12" s="72" t="s">
        <v>605</v>
      </c>
    </row>
    <row r="13" spans="2:7" ht="39.5">
      <c r="B13" s="117" t="s">
        <v>976</v>
      </c>
      <c r="C13" s="118" t="s">
        <v>975</v>
      </c>
      <c r="D13" s="40"/>
      <c r="E13" t="s">
        <v>605</v>
      </c>
      <c r="G13" s="72" t="s">
        <v>605</v>
      </c>
    </row>
    <row r="14" spans="2:7" ht="52.5">
      <c r="B14" s="117" t="s">
        <v>981</v>
      </c>
      <c r="C14" s="118" t="s">
        <v>978</v>
      </c>
      <c r="D14" s="40"/>
      <c r="E14" t="s">
        <v>605</v>
      </c>
      <c r="G14" s="72" t="s">
        <v>1982</v>
      </c>
    </row>
    <row r="15" spans="2:7" ht="39.5">
      <c r="B15" s="117" t="s">
        <v>982</v>
      </c>
      <c r="C15" s="118" t="s">
        <v>980</v>
      </c>
      <c r="D15" s="40"/>
      <c r="E15" t="s">
        <v>605</v>
      </c>
      <c r="G15" s="72" t="s">
        <v>605</v>
      </c>
    </row>
    <row r="16" spans="2:7" ht="26.5">
      <c r="B16" s="117" t="s">
        <v>985</v>
      </c>
      <c r="C16" s="118" t="s">
        <v>990</v>
      </c>
      <c r="D16" s="40"/>
      <c r="E16" t="s">
        <v>605</v>
      </c>
      <c r="G16" s="72" t="s">
        <v>605</v>
      </c>
    </row>
    <row r="17" spans="2:7" ht="26.5">
      <c r="B17" s="117" t="s">
        <v>986</v>
      </c>
      <c r="C17" s="118" t="s">
        <v>988</v>
      </c>
      <c r="D17" s="40"/>
      <c r="E17" t="s">
        <v>605</v>
      </c>
      <c r="G17" s="72" t="s">
        <v>605</v>
      </c>
    </row>
    <row r="18" spans="2:7">
      <c r="B18" s="117" t="s">
        <v>987</v>
      </c>
      <c r="C18" s="118" t="s">
        <v>984</v>
      </c>
      <c r="D18" s="40"/>
      <c r="E18" t="s">
        <v>605</v>
      </c>
      <c r="G18" s="72" t="s">
        <v>605</v>
      </c>
    </row>
    <row r="19" spans="2:7" ht="26.5">
      <c r="B19" s="117" t="s">
        <v>1976</v>
      </c>
      <c r="C19" s="118" t="s">
        <v>994</v>
      </c>
      <c r="D19" s="40"/>
      <c r="E19" t="s">
        <v>605</v>
      </c>
      <c r="G19" s="72" t="s">
        <v>605</v>
      </c>
    </row>
    <row r="20" spans="2:7" ht="39.5">
      <c r="B20" s="117" t="s">
        <v>1977</v>
      </c>
      <c r="C20" s="118" t="s">
        <v>1032</v>
      </c>
      <c r="D20" s="40"/>
      <c r="E20" t="s">
        <v>605</v>
      </c>
      <c r="G20" s="72" t="s">
        <v>605</v>
      </c>
    </row>
    <row r="21" spans="2:7" ht="26.5">
      <c r="B21" s="117" t="s">
        <v>1978</v>
      </c>
      <c r="C21" s="118" t="s">
        <v>996</v>
      </c>
      <c r="D21" s="40"/>
      <c r="E21" t="s">
        <v>605</v>
      </c>
      <c r="G21" s="72" t="s">
        <v>605</v>
      </c>
    </row>
    <row r="22" spans="2:7">
      <c r="B22" s="117" t="s">
        <v>1758</v>
      </c>
      <c r="C22" s="118" t="s">
        <v>998</v>
      </c>
      <c r="D22" s="40"/>
      <c r="E22" t="s">
        <v>605</v>
      </c>
      <c r="G22" s="72" t="s">
        <v>605</v>
      </c>
    </row>
    <row r="23" spans="2:7" ht="26.5">
      <c r="B23" s="117" t="s">
        <v>1979</v>
      </c>
      <c r="C23" s="118" t="s">
        <v>1034</v>
      </c>
      <c r="D23" s="40"/>
      <c r="E23" t="s">
        <v>605</v>
      </c>
      <c r="G23" s="72" t="s">
        <v>605</v>
      </c>
    </row>
    <row r="24" spans="2:7" ht="26.5">
      <c r="B24" s="117" t="s">
        <v>1980</v>
      </c>
      <c r="C24" s="118" t="s">
        <v>999</v>
      </c>
      <c r="D24" s="40"/>
      <c r="E24" t="s">
        <v>605</v>
      </c>
      <c r="G24" s="72" t="s">
        <v>605</v>
      </c>
    </row>
    <row r="25" spans="2:7" ht="39.5">
      <c r="B25" s="117" t="s">
        <v>1754</v>
      </c>
      <c r="C25" s="118" t="s">
        <v>1037</v>
      </c>
      <c r="D25" s="40"/>
      <c r="E25" t="s">
        <v>605</v>
      </c>
      <c r="G25" s="72" t="s">
        <v>605</v>
      </c>
    </row>
    <row r="26" spans="2:7" ht="26.5">
      <c r="B26" s="117" t="s">
        <v>1981</v>
      </c>
      <c r="C26" s="118" t="s">
        <v>1039</v>
      </c>
      <c r="D26" s="40"/>
      <c r="E26" t="s">
        <v>605</v>
      </c>
      <c r="G26" s="72" t="s">
        <v>605</v>
      </c>
    </row>
    <row r="27" spans="2:7">
      <c r="B27" s="117" t="s">
        <v>1757</v>
      </c>
      <c r="C27" s="118" t="s">
        <v>1001</v>
      </c>
      <c r="D27" s="40"/>
      <c r="E27" t="s">
        <v>605</v>
      </c>
      <c r="G27" s="72" t="s">
        <v>605</v>
      </c>
    </row>
    <row r="28" spans="2:7" ht="26.5">
      <c r="B28" s="117" t="s">
        <v>1834</v>
      </c>
      <c r="C28" s="118" t="s">
        <v>1003</v>
      </c>
      <c r="D28" s="40"/>
      <c r="E28" t="s">
        <v>1832</v>
      </c>
      <c r="F28" t="s">
        <v>1808</v>
      </c>
      <c r="G28" s="72" t="s">
        <v>605</v>
      </c>
    </row>
    <row r="29" spans="2:7" ht="26.5">
      <c r="B29" s="117"/>
      <c r="C29" s="118" t="s">
        <v>1004</v>
      </c>
      <c r="D29" s="40"/>
      <c r="F29" t="s">
        <v>1806</v>
      </c>
      <c r="G29" s="72" t="s">
        <v>605</v>
      </c>
    </row>
    <row r="30" spans="2:7" ht="26.5">
      <c r="B30" s="128" t="s">
        <v>1813</v>
      </c>
      <c r="C30" s="118" t="s">
        <v>1007</v>
      </c>
      <c r="D30" s="40" t="s">
        <v>18</v>
      </c>
      <c r="F30" t="s">
        <v>1831</v>
      </c>
      <c r="G30" s="72" t="s">
        <v>605</v>
      </c>
    </row>
    <row r="31" spans="2:7" ht="52.5">
      <c r="B31" s="117" t="s">
        <v>1833</v>
      </c>
      <c r="C31" s="118" t="s">
        <v>1042</v>
      </c>
      <c r="D31" s="40"/>
      <c r="E31" t="s">
        <v>1832</v>
      </c>
      <c r="F31" t="s">
        <v>1808</v>
      </c>
      <c r="G31" s="72" t="s">
        <v>605</v>
      </c>
    </row>
    <row r="32" spans="2:7" ht="52.5">
      <c r="B32" s="128" t="s">
        <v>1814</v>
      </c>
      <c r="C32" s="118" t="s">
        <v>1044</v>
      </c>
      <c r="D32" s="40"/>
      <c r="F32" t="s">
        <v>1810</v>
      </c>
      <c r="G32" s="72" t="s">
        <v>605</v>
      </c>
    </row>
    <row r="33" spans="2:7" ht="26.5">
      <c r="B33" s="128" t="s">
        <v>1815</v>
      </c>
      <c r="C33" s="118" t="s">
        <v>1054</v>
      </c>
      <c r="D33" s="40"/>
      <c r="F33" t="s">
        <v>1806</v>
      </c>
      <c r="G33" s="72" t="s">
        <v>605</v>
      </c>
    </row>
    <row r="34" spans="2:7" ht="26.5">
      <c r="B34" s="128" t="s">
        <v>1823</v>
      </c>
      <c r="C34" s="118" t="s">
        <v>1027</v>
      </c>
      <c r="D34" s="40"/>
      <c r="F34" t="s">
        <v>166</v>
      </c>
      <c r="G34" s="72" t="s">
        <v>605</v>
      </c>
    </row>
    <row r="35" spans="2:7" ht="26">
      <c r="B35" s="110" t="s">
        <v>1457</v>
      </c>
      <c r="C35" s="111" t="s">
        <v>1826</v>
      </c>
      <c r="D35" s="58"/>
      <c r="F35" t="s">
        <v>98</v>
      </c>
      <c r="G35" s="72" t="s">
        <v>605</v>
      </c>
    </row>
    <row r="36" spans="2:7" ht="26">
      <c r="B36" s="110" t="s">
        <v>1458</v>
      </c>
      <c r="C36" s="111" t="s">
        <v>1825</v>
      </c>
      <c r="D36" s="58"/>
      <c r="F36" t="s">
        <v>98</v>
      </c>
      <c r="G36" s="72" t="s">
        <v>605</v>
      </c>
    </row>
    <row r="37" spans="2:7" ht="39">
      <c r="B37" s="110" t="s">
        <v>1459</v>
      </c>
      <c r="C37" s="111" t="s">
        <v>1824</v>
      </c>
      <c r="D37" s="58"/>
      <c r="F37" t="s">
        <v>98</v>
      </c>
      <c r="G37" s="72" t="s">
        <v>605</v>
      </c>
    </row>
    <row r="38" spans="2:7" ht="65">
      <c r="B38" s="110" t="s">
        <v>1460</v>
      </c>
      <c r="C38" s="111" t="s">
        <v>1827</v>
      </c>
      <c r="D38" s="58"/>
      <c r="F38" t="s">
        <v>98</v>
      </c>
      <c r="G38" s="72" t="s">
        <v>605</v>
      </c>
    </row>
    <row r="39" spans="2:7" ht="39">
      <c r="B39" s="110" t="s">
        <v>1461</v>
      </c>
      <c r="C39" s="111" t="s">
        <v>1829</v>
      </c>
      <c r="D39" s="58"/>
      <c r="F39" t="s">
        <v>98</v>
      </c>
      <c r="G39" s="72" t="s">
        <v>605</v>
      </c>
    </row>
    <row r="40" spans="2:7" ht="65">
      <c r="B40" s="110" t="s">
        <v>1462</v>
      </c>
      <c r="C40" s="111" t="s">
        <v>1828</v>
      </c>
      <c r="D40" s="58"/>
      <c r="F40" t="s">
        <v>98</v>
      </c>
      <c r="G40" s="72" t="s">
        <v>605</v>
      </c>
    </row>
    <row r="41" spans="2:7" ht="39">
      <c r="B41" s="110" t="s">
        <v>1463</v>
      </c>
      <c r="C41" s="111" t="s">
        <v>1830</v>
      </c>
      <c r="D41" s="58"/>
      <c r="F41" t="s">
        <v>98</v>
      </c>
      <c r="G41" s="72" t="s">
        <v>605</v>
      </c>
    </row>
    <row r="42" spans="2:7" ht="15.5">
      <c r="B42" s="128" t="s">
        <v>1822</v>
      </c>
      <c r="C42" s="109" t="s">
        <v>1431</v>
      </c>
      <c r="D42" s="57"/>
      <c r="G42" s="72" t="s">
        <v>605</v>
      </c>
    </row>
    <row r="43" spans="2:7" ht="39">
      <c r="B43" s="117" t="s">
        <v>1819</v>
      </c>
      <c r="C43" s="109" t="s">
        <v>1433</v>
      </c>
      <c r="D43" s="57"/>
      <c r="E43" t="s">
        <v>605</v>
      </c>
      <c r="G43" s="72" t="s">
        <v>605</v>
      </c>
    </row>
    <row r="44" spans="2:7" ht="26">
      <c r="B44" s="117" t="s">
        <v>815</v>
      </c>
      <c r="C44" s="109" t="s">
        <v>1434</v>
      </c>
      <c r="D44" s="57"/>
      <c r="E44" t="s">
        <v>605</v>
      </c>
      <c r="G44" s="72" t="s">
        <v>605</v>
      </c>
    </row>
    <row r="45" spans="2:7" ht="26">
      <c r="B45" s="117" t="s">
        <v>1818</v>
      </c>
      <c r="C45" s="109" t="s">
        <v>1436</v>
      </c>
      <c r="D45" s="57"/>
      <c r="E45" t="s">
        <v>605</v>
      </c>
      <c r="G45" s="72" t="s">
        <v>605</v>
      </c>
    </row>
    <row r="46" spans="2:7" ht="26">
      <c r="B46" s="117" t="s">
        <v>1817</v>
      </c>
      <c r="C46" s="109" t="s">
        <v>1437</v>
      </c>
      <c r="D46" s="57"/>
      <c r="E46" t="s">
        <v>605</v>
      </c>
      <c r="G46" s="72" t="s">
        <v>605</v>
      </c>
    </row>
    <row r="47" spans="2:7" ht="39">
      <c r="B47" s="117" t="s">
        <v>1816</v>
      </c>
      <c r="C47" s="109" t="s">
        <v>1438</v>
      </c>
      <c r="D47" s="57"/>
      <c r="E47" t="s">
        <v>605</v>
      </c>
      <c r="G47" s="72" t="s">
        <v>605</v>
      </c>
    </row>
    <row r="48" spans="2:7" ht="26">
      <c r="B48" s="128" t="s">
        <v>1821</v>
      </c>
      <c r="C48" s="111" t="s">
        <v>1442</v>
      </c>
      <c r="D48" s="58"/>
      <c r="F48" t="s">
        <v>98</v>
      </c>
      <c r="G48" s="72" t="s">
        <v>605</v>
      </c>
    </row>
    <row r="49" spans="2:7" ht="91.5">
      <c r="B49" s="117" t="s">
        <v>1720</v>
      </c>
      <c r="C49" s="118" t="s">
        <v>1719</v>
      </c>
      <c r="D49" s="40" t="s">
        <v>1798</v>
      </c>
      <c r="E49" t="s">
        <v>1832</v>
      </c>
      <c r="F49" t="s">
        <v>117</v>
      </c>
      <c r="G49" s="72" t="s">
        <v>605</v>
      </c>
    </row>
    <row r="50" spans="2:7" ht="91.5">
      <c r="B50" s="117" t="s">
        <v>1724</v>
      </c>
      <c r="C50" s="118" t="s">
        <v>1723</v>
      </c>
      <c r="D50" s="40" t="s">
        <v>1798</v>
      </c>
      <c r="F50" t="s">
        <v>334</v>
      </c>
      <c r="G50" s="72" t="s">
        <v>605</v>
      </c>
    </row>
    <row r="51" spans="2:7" ht="39.5">
      <c r="B51" s="117" t="s">
        <v>1725</v>
      </c>
      <c r="C51" s="118" t="s">
        <v>1616</v>
      </c>
      <c r="D51" s="40" t="s">
        <v>1798</v>
      </c>
      <c r="F51" t="s">
        <v>334</v>
      </c>
      <c r="G51" s="72" t="s">
        <v>605</v>
      </c>
    </row>
    <row r="52" spans="2:7" ht="52">
      <c r="B52" s="117" t="s">
        <v>1727</v>
      </c>
      <c r="C52" s="109" t="s">
        <v>1802</v>
      </c>
      <c r="D52" s="57" t="s">
        <v>1798</v>
      </c>
      <c r="F52" t="s">
        <v>1806</v>
      </c>
      <c r="G52" s="72" t="s">
        <v>605</v>
      </c>
    </row>
    <row r="53" spans="2:7" ht="65">
      <c r="B53" s="117" t="s">
        <v>1728</v>
      </c>
      <c r="C53" s="109" t="s">
        <v>1657</v>
      </c>
      <c r="D53" s="57" t="s">
        <v>1798</v>
      </c>
      <c r="F53" t="s">
        <v>1806</v>
      </c>
      <c r="G53" s="72" t="s">
        <v>605</v>
      </c>
    </row>
    <row r="54" spans="2:7" ht="52">
      <c r="B54" s="117" t="s">
        <v>1729</v>
      </c>
      <c r="C54" s="103" t="s">
        <v>1659</v>
      </c>
      <c r="D54" s="80" t="s">
        <v>1798</v>
      </c>
      <c r="F54" t="s">
        <v>1809</v>
      </c>
      <c r="G54" s="72" t="s">
        <v>605</v>
      </c>
    </row>
    <row r="55" spans="2:7" ht="117">
      <c r="B55" s="117" t="s">
        <v>1730</v>
      </c>
      <c r="C55" s="103" t="s">
        <v>1662</v>
      </c>
      <c r="D55" s="80" t="s">
        <v>1798</v>
      </c>
      <c r="E55" t="s">
        <v>605</v>
      </c>
      <c r="G55" s="72" t="s">
        <v>605</v>
      </c>
    </row>
    <row r="56" spans="2:7" ht="52">
      <c r="B56" s="117" t="s">
        <v>1731</v>
      </c>
      <c r="C56" s="103" t="s">
        <v>1664</v>
      </c>
      <c r="D56" s="80" t="s">
        <v>1798</v>
      </c>
      <c r="E56" t="s">
        <v>605</v>
      </c>
      <c r="G56" s="72" t="s">
        <v>605</v>
      </c>
    </row>
    <row r="57" spans="2:7" ht="39">
      <c r="B57" s="117" t="s">
        <v>1732</v>
      </c>
      <c r="C57" s="111" t="s">
        <v>1665</v>
      </c>
      <c r="D57" s="58" t="s">
        <v>1798</v>
      </c>
      <c r="E57" t="s">
        <v>605</v>
      </c>
      <c r="G57" s="72" t="s">
        <v>605</v>
      </c>
    </row>
    <row r="58" spans="2:7" ht="52">
      <c r="B58" s="117" t="s">
        <v>1735</v>
      </c>
      <c r="C58" s="111" t="s">
        <v>1668</v>
      </c>
      <c r="D58" s="58" t="s">
        <v>1798</v>
      </c>
      <c r="E58" t="s">
        <v>605</v>
      </c>
      <c r="G58" s="72" t="s">
        <v>605</v>
      </c>
    </row>
    <row r="59" spans="2:7" ht="52">
      <c r="B59" s="117" t="s">
        <v>1718</v>
      </c>
      <c r="C59" s="111" t="s">
        <v>1669</v>
      </c>
      <c r="D59" s="58" t="s">
        <v>1798</v>
      </c>
      <c r="E59" t="s">
        <v>605</v>
      </c>
      <c r="G59" s="72" t="s">
        <v>605</v>
      </c>
    </row>
    <row r="60" spans="2:7" ht="52">
      <c r="B60" s="117" t="s">
        <v>1736</v>
      </c>
      <c r="C60" s="111" t="s">
        <v>1670</v>
      </c>
      <c r="D60" s="58" t="s">
        <v>1798</v>
      </c>
      <c r="E60" t="s">
        <v>605</v>
      </c>
      <c r="G60" s="72" t="s">
        <v>605</v>
      </c>
    </row>
    <row r="61" spans="2:7" ht="52">
      <c r="B61" s="117" t="s">
        <v>1737</v>
      </c>
      <c r="C61" s="111" t="s">
        <v>1671</v>
      </c>
      <c r="D61" s="58" t="s">
        <v>1798</v>
      </c>
      <c r="E61" t="s">
        <v>605</v>
      </c>
      <c r="G61" s="72" t="s">
        <v>605</v>
      </c>
    </row>
    <row r="62" spans="2:7" ht="78">
      <c r="B62" s="117" t="s">
        <v>1738</v>
      </c>
      <c r="C62" s="111" t="s">
        <v>1672</v>
      </c>
      <c r="D62" s="58" t="s">
        <v>1798</v>
      </c>
      <c r="E62" t="s">
        <v>605</v>
      </c>
      <c r="G62" s="72" t="s">
        <v>605</v>
      </c>
    </row>
    <row r="63" spans="2:7" ht="117">
      <c r="B63" s="117" t="s">
        <v>1750</v>
      </c>
      <c r="C63" s="109" t="s">
        <v>1673</v>
      </c>
      <c r="D63" s="57" t="s">
        <v>1798</v>
      </c>
      <c r="E63" t="s">
        <v>605</v>
      </c>
      <c r="G63" s="72" t="s">
        <v>605</v>
      </c>
    </row>
    <row r="64" spans="2:7" ht="65">
      <c r="B64" s="117" t="s">
        <v>1739</v>
      </c>
      <c r="C64" s="111" t="s">
        <v>1674</v>
      </c>
      <c r="D64" s="58" t="s">
        <v>1798</v>
      </c>
      <c r="E64" t="s">
        <v>605</v>
      </c>
      <c r="G64" s="72" t="s">
        <v>605</v>
      </c>
    </row>
    <row r="65" spans="2:7" ht="78">
      <c r="B65" s="117" t="s">
        <v>1740</v>
      </c>
      <c r="C65" s="111" t="s">
        <v>1675</v>
      </c>
      <c r="D65" s="58" t="s">
        <v>1798</v>
      </c>
      <c r="E65" t="s">
        <v>605</v>
      </c>
      <c r="G65" s="72" t="s">
        <v>605</v>
      </c>
    </row>
    <row r="66" spans="2:7" ht="65">
      <c r="B66" s="117" t="s">
        <v>1741</v>
      </c>
      <c r="C66" s="111" t="s">
        <v>1676</v>
      </c>
      <c r="D66" s="58" t="s">
        <v>1798</v>
      </c>
      <c r="E66" t="s">
        <v>605</v>
      </c>
      <c r="G66" s="72" t="s">
        <v>605</v>
      </c>
    </row>
    <row r="67" spans="2:7" ht="52">
      <c r="B67" s="117" t="s">
        <v>1751</v>
      </c>
      <c r="C67" s="111" t="s">
        <v>1677</v>
      </c>
      <c r="D67" s="58" t="s">
        <v>1798</v>
      </c>
      <c r="E67" t="s">
        <v>605</v>
      </c>
      <c r="G67" s="72" t="s">
        <v>605</v>
      </c>
    </row>
    <row r="68" spans="2:7" ht="65">
      <c r="B68" s="117" t="s">
        <v>1752</v>
      </c>
      <c r="C68" s="111" t="s">
        <v>1678</v>
      </c>
      <c r="D68" s="58" t="s">
        <v>1798</v>
      </c>
      <c r="E68" t="s">
        <v>605</v>
      </c>
      <c r="G68" s="72" t="s">
        <v>605</v>
      </c>
    </row>
    <row r="69" spans="2:7" ht="52">
      <c r="B69" s="117" t="s">
        <v>1753</v>
      </c>
      <c r="C69" s="111" t="s">
        <v>1679</v>
      </c>
      <c r="D69" s="58" t="s">
        <v>1798</v>
      </c>
      <c r="E69" t="s">
        <v>605</v>
      </c>
      <c r="G69" s="72" t="s">
        <v>605</v>
      </c>
    </row>
    <row r="70" spans="2:7" ht="104">
      <c r="B70" s="117" t="s">
        <v>1755</v>
      </c>
      <c r="C70" s="109" t="s">
        <v>1681</v>
      </c>
      <c r="D70" s="57" t="s">
        <v>1798</v>
      </c>
      <c r="E70" t="s">
        <v>605</v>
      </c>
      <c r="G70" s="72" t="s">
        <v>605</v>
      </c>
    </row>
    <row r="71" spans="2:7" ht="65">
      <c r="B71" s="117" t="s">
        <v>1756</v>
      </c>
      <c r="C71" s="103" t="s">
        <v>1803</v>
      </c>
      <c r="D71" s="80" t="s">
        <v>1798</v>
      </c>
      <c r="E71" t="s">
        <v>605</v>
      </c>
      <c r="G71" s="72" t="s">
        <v>605</v>
      </c>
    </row>
    <row r="72" spans="2:7" ht="52">
      <c r="B72" s="117" t="s">
        <v>1759</v>
      </c>
      <c r="C72" s="109" t="s">
        <v>1684</v>
      </c>
      <c r="D72" s="57" t="s">
        <v>1798</v>
      </c>
      <c r="E72" t="s">
        <v>1832</v>
      </c>
      <c r="G72" s="72" t="s">
        <v>605</v>
      </c>
    </row>
    <row r="73" spans="2:7" ht="65">
      <c r="B73" s="117" t="s">
        <v>1760</v>
      </c>
      <c r="C73" s="123" t="s">
        <v>1708</v>
      </c>
      <c r="D73" s="57" t="s">
        <v>1798</v>
      </c>
      <c r="E73" t="s">
        <v>1832</v>
      </c>
      <c r="F73" t="s">
        <v>1809</v>
      </c>
      <c r="G73" s="72" t="s">
        <v>605</v>
      </c>
    </row>
    <row r="74" spans="2:7" ht="39">
      <c r="B74" s="117" t="s">
        <v>1761</v>
      </c>
      <c r="C74" s="103" t="s">
        <v>1686</v>
      </c>
      <c r="D74" s="57" t="s">
        <v>1798</v>
      </c>
      <c r="E74" t="s">
        <v>1832</v>
      </c>
      <c r="F74" t="s">
        <v>1808</v>
      </c>
      <c r="G74" s="72" t="s">
        <v>605</v>
      </c>
    </row>
    <row r="75" spans="2:7" ht="39">
      <c r="B75" s="117" t="s">
        <v>1762</v>
      </c>
      <c r="C75" s="111" t="s">
        <v>1687</v>
      </c>
      <c r="D75" s="57" t="s">
        <v>1798</v>
      </c>
      <c r="E75" t="s">
        <v>1832</v>
      </c>
      <c r="F75" t="s">
        <v>1809</v>
      </c>
      <c r="G75" s="72" t="s">
        <v>605</v>
      </c>
    </row>
    <row r="76" spans="2:7" ht="39">
      <c r="B76" s="117" t="s">
        <v>1763</v>
      </c>
      <c r="C76" s="111" t="s">
        <v>1804</v>
      </c>
      <c r="D76" s="57" t="s">
        <v>1798</v>
      </c>
      <c r="F76" t="s">
        <v>1809</v>
      </c>
      <c r="G76" s="72" t="s">
        <v>605</v>
      </c>
    </row>
    <row r="77" spans="2:7" ht="52">
      <c r="B77" s="117" t="s">
        <v>1749</v>
      </c>
      <c r="C77" s="111" t="s">
        <v>1805</v>
      </c>
      <c r="D77" s="57" t="s">
        <v>1798</v>
      </c>
      <c r="F77" t="s">
        <v>1809</v>
      </c>
      <c r="G77" s="72" t="s">
        <v>605</v>
      </c>
    </row>
    <row r="78" spans="2:7" ht="26">
      <c r="B78" s="124" t="s">
        <v>505</v>
      </c>
      <c r="C78" s="103" t="s">
        <v>1688</v>
      </c>
      <c r="D78" s="57" t="s">
        <v>1798</v>
      </c>
      <c r="F78" t="s">
        <v>117</v>
      </c>
      <c r="G78" s="72" t="s">
        <v>605</v>
      </c>
    </row>
    <row r="79" spans="2:7" ht="104">
      <c r="B79" s="117" t="s">
        <v>1748</v>
      </c>
      <c r="C79" s="103" t="s">
        <v>1689</v>
      </c>
      <c r="D79" s="57" t="s">
        <v>1798</v>
      </c>
      <c r="E79" t="s">
        <v>1832</v>
      </c>
      <c r="F79" t="s">
        <v>1808</v>
      </c>
      <c r="G79" s="72" t="s">
        <v>605</v>
      </c>
    </row>
    <row r="80" spans="2:7" ht="104">
      <c r="B80" s="117" t="s">
        <v>1747</v>
      </c>
      <c r="C80" s="103" t="s">
        <v>1690</v>
      </c>
      <c r="D80" s="57" t="s">
        <v>1798</v>
      </c>
      <c r="F80" t="s">
        <v>1809</v>
      </c>
      <c r="G80" s="72" t="s">
        <v>605</v>
      </c>
    </row>
    <row r="81" spans="2:7" ht="65">
      <c r="B81" s="117" t="s">
        <v>1745</v>
      </c>
      <c r="C81" s="103" t="s">
        <v>1691</v>
      </c>
      <c r="D81" s="57" t="s">
        <v>1798</v>
      </c>
      <c r="F81" t="s">
        <v>166</v>
      </c>
      <c r="G81" s="72" t="s">
        <v>605</v>
      </c>
    </row>
    <row r="82" spans="2:7" ht="26">
      <c r="B82" s="117" t="s">
        <v>1746</v>
      </c>
      <c r="C82" s="111" t="s">
        <v>1692</v>
      </c>
      <c r="D82" s="57" t="s">
        <v>1798</v>
      </c>
      <c r="F82" t="s">
        <v>334</v>
      </c>
      <c r="G82" s="72" t="s">
        <v>605</v>
      </c>
    </row>
    <row r="83" spans="2:7" ht="26">
      <c r="B83" s="117" t="s">
        <v>1744</v>
      </c>
      <c r="C83" s="111" t="s">
        <v>1694</v>
      </c>
      <c r="D83" s="58"/>
      <c r="F83" t="s">
        <v>1810</v>
      </c>
      <c r="G83" s="72" t="s">
        <v>605</v>
      </c>
    </row>
    <row r="84" spans="2:7" ht="15.5">
      <c r="B84" s="117" t="s">
        <v>1743</v>
      </c>
      <c r="C84" s="111" t="s">
        <v>1695</v>
      </c>
      <c r="D84" s="58"/>
      <c r="F84" t="s">
        <v>1811</v>
      </c>
      <c r="G84" s="72" t="s">
        <v>605</v>
      </c>
    </row>
    <row r="85" spans="2:7" ht="15.5">
      <c r="B85" s="117" t="s">
        <v>1742</v>
      </c>
      <c r="C85" s="111" t="s">
        <v>1696</v>
      </c>
      <c r="D85" s="58"/>
      <c r="F85" t="s">
        <v>1811</v>
      </c>
      <c r="G85" s="72" t="s">
        <v>605</v>
      </c>
    </row>
    <row r="86" spans="2:7" ht="52">
      <c r="B86" s="117" t="s">
        <v>1717</v>
      </c>
      <c r="C86" s="109" t="s">
        <v>1697</v>
      </c>
      <c r="D86" s="57" t="s">
        <v>1798</v>
      </c>
      <c r="F86" t="s">
        <v>334</v>
      </c>
      <c r="G86" s="72" t="s">
        <v>605</v>
      </c>
    </row>
    <row r="87" spans="2:7" ht="39">
      <c r="B87" s="117" t="s">
        <v>1716</v>
      </c>
      <c r="C87" s="109" t="s">
        <v>1698</v>
      </c>
      <c r="D87" s="57" t="s">
        <v>1798</v>
      </c>
      <c r="F87" t="s">
        <v>334</v>
      </c>
      <c r="G87" s="72" t="s">
        <v>605</v>
      </c>
    </row>
    <row r="88" spans="2:7" ht="26">
      <c r="B88" s="117" t="s">
        <v>1714</v>
      </c>
      <c r="C88" s="109" t="s">
        <v>1699</v>
      </c>
      <c r="D88" s="57"/>
      <c r="F88" t="s">
        <v>1810</v>
      </c>
      <c r="G88" s="72" t="s">
        <v>605</v>
      </c>
    </row>
    <row r="89" spans="2:7" ht="26">
      <c r="B89" s="117" t="s">
        <v>1715</v>
      </c>
      <c r="C89" s="103" t="s">
        <v>1700</v>
      </c>
      <c r="D89" s="80"/>
      <c r="F89" t="s">
        <v>1811</v>
      </c>
      <c r="G89" s="72" t="s">
        <v>605</v>
      </c>
    </row>
    <row r="90" spans="2:7" ht="52">
      <c r="B90" s="117" t="s">
        <v>1713</v>
      </c>
      <c r="C90" s="109" t="s">
        <v>1701</v>
      </c>
      <c r="D90" s="57"/>
      <c r="F90" t="s">
        <v>1810</v>
      </c>
      <c r="G90" s="72" t="s">
        <v>605</v>
      </c>
    </row>
    <row r="91" spans="2:7" ht="52">
      <c r="B91" s="117" t="s">
        <v>1709</v>
      </c>
      <c r="C91" s="109" t="s">
        <v>1702</v>
      </c>
      <c r="D91" s="57"/>
      <c r="F91" t="s">
        <v>1810</v>
      </c>
      <c r="G91" s="72" t="s">
        <v>605</v>
      </c>
    </row>
    <row r="92" spans="2:7" ht="26">
      <c r="B92" s="117" t="s">
        <v>1710</v>
      </c>
      <c r="C92" s="106" t="s">
        <v>1703</v>
      </c>
      <c r="D92" s="81"/>
      <c r="F92" t="s">
        <v>1811</v>
      </c>
      <c r="G92" s="72" t="s">
        <v>605</v>
      </c>
    </row>
    <row r="93" spans="2:7" ht="65">
      <c r="B93" s="117" t="s">
        <v>1711</v>
      </c>
      <c r="C93" s="103" t="s">
        <v>1704</v>
      </c>
      <c r="D93" s="57" t="s">
        <v>1798</v>
      </c>
      <c r="F93" t="s">
        <v>1810</v>
      </c>
      <c r="G93" s="72" t="s">
        <v>605</v>
      </c>
    </row>
    <row r="94" spans="2:7" ht="65">
      <c r="B94" s="117" t="s">
        <v>1712</v>
      </c>
      <c r="C94" s="106" t="s">
        <v>1705</v>
      </c>
      <c r="D94" s="57" t="s">
        <v>1798</v>
      </c>
      <c r="F94" t="s">
        <v>1810</v>
      </c>
      <c r="G94" s="72" t="s">
        <v>605</v>
      </c>
    </row>
    <row r="95" spans="2:7" ht="26">
      <c r="B95" s="117" t="s">
        <v>1217</v>
      </c>
      <c r="C95" s="111" t="s">
        <v>1706</v>
      </c>
      <c r="D95" s="58"/>
      <c r="F95" t="s">
        <v>334</v>
      </c>
      <c r="G95" s="72" t="s">
        <v>605</v>
      </c>
    </row>
  </sheetData>
  <autoFilter ref="B4:G9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B1:C124"/>
  <sheetViews>
    <sheetView topLeftCell="A106" workbookViewId="0">
      <selection activeCell="B120" sqref="B120"/>
    </sheetView>
  </sheetViews>
  <sheetFormatPr baseColWidth="10" defaultRowHeight="14.5"/>
  <cols>
    <col min="2" max="2" width="37.81640625" customWidth="1"/>
    <col min="3" max="3" width="49.7265625" customWidth="1"/>
  </cols>
  <sheetData>
    <row r="1" spans="2:3">
      <c r="B1" t="s">
        <v>1242</v>
      </c>
    </row>
    <row r="3" spans="2:3" ht="33">
      <c r="B3" s="43" t="s">
        <v>1112</v>
      </c>
      <c r="C3" s="46" t="s">
        <v>1151</v>
      </c>
    </row>
    <row r="4" spans="2:3">
      <c r="B4" s="44" t="s">
        <v>1113</v>
      </c>
      <c r="C4" s="44" t="s">
        <v>1152</v>
      </c>
    </row>
    <row r="5" spans="2:3">
      <c r="B5" s="45" t="s">
        <v>1114</v>
      </c>
      <c r="C5" s="45" t="s">
        <v>1153</v>
      </c>
    </row>
    <row r="6" spans="2:3">
      <c r="B6" s="45"/>
      <c r="C6" s="45"/>
    </row>
    <row r="7" spans="2:3">
      <c r="B7" s="44" t="s">
        <v>1115</v>
      </c>
      <c r="C7" s="44" t="s">
        <v>1154</v>
      </c>
    </row>
    <row r="8" spans="2:3">
      <c r="B8" s="45" t="s">
        <v>1115</v>
      </c>
      <c r="C8" s="45" t="s">
        <v>1155</v>
      </c>
    </row>
    <row r="9" spans="2:3">
      <c r="B9" s="44" t="s">
        <v>1116</v>
      </c>
      <c r="C9" s="44" t="s">
        <v>1156</v>
      </c>
    </row>
    <row r="10" spans="2:3">
      <c r="B10" s="45" t="s">
        <v>1117</v>
      </c>
      <c r="C10" s="45" t="s">
        <v>1157</v>
      </c>
    </row>
    <row r="11" spans="2:3">
      <c r="B11" s="44" t="s">
        <v>1118</v>
      </c>
      <c r="C11" s="44" t="s">
        <v>1158</v>
      </c>
    </row>
    <row r="12" spans="2:3">
      <c r="B12" s="45" t="s">
        <v>1118</v>
      </c>
      <c r="C12" s="47" t="s">
        <v>1159</v>
      </c>
    </row>
    <row r="13" spans="2:3">
      <c r="B13" s="44" t="s">
        <v>1119</v>
      </c>
      <c r="C13" s="44" t="s">
        <v>1160</v>
      </c>
    </row>
    <row r="14" spans="2:3">
      <c r="B14" s="45" t="s">
        <v>1119</v>
      </c>
      <c r="C14" s="45" t="s">
        <v>1161</v>
      </c>
    </row>
    <row r="15" spans="2:3">
      <c r="B15" s="44" t="s">
        <v>1120</v>
      </c>
      <c r="C15" s="44" t="s">
        <v>1162</v>
      </c>
    </row>
    <row r="16" spans="2:3">
      <c r="B16" s="45" t="s">
        <v>1120</v>
      </c>
      <c r="C16" s="45" t="s">
        <v>1163</v>
      </c>
    </row>
    <row r="17" spans="2:3">
      <c r="B17" s="44" t="s">
        <v>1121</v>
      </c>
      <c r="C17" s="44" t="s">
        <v>1164</v>
      </c>
    </row>
    <row r="18" spans="2:3">
      <c r="B18" s="45" t="s">
        <v>1121</v>
      </c>
      <c r="C18" s="45" t="s">
        <v>1165</v>
      </c>
    </row>
    <row r="19" spans="2:3">
      <c r="B19" s="44" t="s">
        <v>1122</v>
      </c>
      <c r="C19" s="44" t="s">
        <v>1166</v>
      </c>
    </row>
    <row r="20" spans="2:3">
      <c r="B20" s="45" t="s">
        <v>1123</v>
      </c>
      <c r="C20" s="45" t="s">
        <v>1167</v>
      </c>
    </row>
    <row r="21" spans="2:3">
      <c r="B21" s="44" t="s">
        <v>1124</v>
      </c>
      <c r="C21" s="44" t="s">
        <v>1168</v>
      </c>
    </row>
    <row r="22" spans="2:3">
      <c r="B22" s="45" t="s">
        <v>1124</v>
      </c>
      <c r="C22" s="45" t="s">
        <v>1169</v>
      </c>
    </row>
    <row r="23" spans="2:3">
      <c r="B23" s="44" t="s">
        <v>1125</v>
      </c>
      <c r="C23" s="44" t="s">
        <v>1170</v>
      </c>
    </row>
    <row r="24" spans="2:3">
      <c r="B24" s="45" t="s">
        <v>1125</v>
      </c>
      <c r="C24" s="45" t="s">
        <v>1171</v>
      </c>
    </row>
    <row r="25" spans="2:3">
      <c r="B25" s="44" t="s">
        <v>1126</v>
      </c>
      <c r="C25" s="44" t="s">
        <v>1172</v>
      </c>
    </row>
    <row r="26" spans="2:3">
      <c r="B26" s="45" t="s">
        <v>1127</v>
      </c>
      <c r="C26" s="45" t="s">
        <v>1173</v>
      </c>
    </row>
    <row r="27" spans="2:3">
      <c r="B27" s="44" t="s">
        <v>1128</v>
      </c>
      <c r="C27" s="44" t="s">
        <v>1174</v>
      </c>
    </row>
    <row r="28" spans="2:3" ht="27">
      <c r="B28" s="45" t="s">
        <v>1129</v>
      </c>
      <c r="C28" s="45" t="s">
        <v>1175</v>
      </c>
    </row>
    <row r="29" spans="2:3">
      <c r="B29" s="44" t="s">
        <v>1130</v>
      </c>
      <c r="C29" s="44" t="s">
        <v>1176</v>
      </c>
    </row>
    <row r="30" spans="2:3">
      <c r="B30" s="45" t="s">
        <v>1130</v>
      </c>
      <c r="C30" s="47" t="s">
        <v>1177</v>
      </c>
    </row>
    <row r="31" spans="2:3">
      <c r="B31" s="44" t="s">
        <v>1131</v>
      </c>
      <c r="C31" s="44" t="s">
        <v>1178</v>
      </c>
    </row>
    <row r="32" spans="2:3">
      <c r="B32" s="45" t="s">
        <v>1131</v>
      </c>
      <c r="C32" s="45" t="s">
        <v>1179</v>
      </c>
    </row>
    <row r="33" spans="2:3">
      <c r="B33" s="44" t="s">
        <v>1132</v>
      </c>
      <c r="C33" s="44" t="s">
        <v>1180</v>
      </c>
    </row>
    <row r="34" spans="2:3">
      <c r="B34" s="45" t="s">
        <v>1132</v>
      </c>
      <c r="C34" s="45" t="s">
        <v>1181</v>
      </c>
    </row>
    <row r="35" spans="2:3">
      <c r="B35" s="44" t="s">
        <v>1133</v>
      </c>
      <c r="C35" s="44" t="s">
        <v>1182</v>
      </c>
    </row>
    <row r="36" spans="2:3">
      <c r="B36" s="45" t="s">
        <v>1133</v>
      </c>
      <c r="C36" s="45" t="s">
        <v>1183</v>
      </c>
    </row>
    <row r="37" spans="2:3">
      <c r="B37" s="44" t="s">
        <v>1134</v>
      </c>
      <c r="C37" s="44" t="s">
        <v>1184</v>
      </c>
    </row>
    <row r="38" spans="2:3">
      <c r="B38" s="45" t="s">
        <v>1135</v>
      </c>
      <c r="C38" s="45" t="s">
        <v>1185</v>
      </c>
    </row>
    <row r="39" spans="2:3">
      <c r="B39" s="44" t="s">
        <v>1136</v>
      </c>
      <c r="C39" s="44" t="s">
        <v>1186</v>
      </c>
    </row>
    <row r="40" spans="2:3">
      <c r="B40" s="45" t="s">
        <v>1137</v>
      </c>
      <c r="C40" s="45" t="s">
        <v>1187</v>
      </c>
    </row>
    <row r="41" spans="2:3">
      <c r="B41" s="44" t="s">
        <v>1138</v>
      </c>
      <c r="C41" s="44" t="s">
        <v>1188</v>
      </c>
    </row>
    <row r="42" spans="2:3">
      <c r="B42" s="45" t="s">
        <v>1138</v>
      </c>
      <c r="C42" s="45" t="s">
        <v>1189</v>
      </c>
    </row>
    <row r="43" spans="2:3">
      <c r="B43" s="44" t="s">
        <v>1139</v>
      </c>
      <c r="C43" s="44" t="s">
        <v>1190</v>
      </c>
    </row>
    <row r="44" spans="2:3">
      <c r="B44" s="45" t="s">
        <v>1140</v>
      </c>
      <c r="C44" s="45" t="s">
        <v>1191</v>
      </c>
    </row>
    <row r="45" spans="2:3">
      <c r="B45" s="44" t="s">
        <v>1141</v>
      </c>
      <c r="C45" s="44" t="s">
        <v>1192</v>
      </c>
    </row>
    <row r="46" spans="2:3">
      <c r="B46" s="45" t="s">
        <v>1141</v>
      </c>
      <c r="C46" s="45" t="s">
        <v>1193</v>
      </c>
    </row>
    <row r="47" spans="2:3">
      <c r="B47" s="44" t="s">
        <v>894</v>
      </c>
      <c r="C47" s="44" t="s">
        <v>1194</v>
      </c>
    </row>
    <row r="48" spans="2:3">
      <c r="B48" s="45" t="s">
        <v>1140</v>
      </c>
      <c r="C48" s="45" t="s">
        <v>1195</v>
      </c>
    </row>
    <row r="49" spans="2:3">
      <c r="B49" s="44" t="s">
        <v>1142</v>
      </c>
      <c r="C49" s="44" t="s">
        <v>1196</v>
      </c>
    </row>
    <row r="50" spans="2:3">
      <c r="B50" s="45" t="s">
        <v>1142</v>
      </c>
      <c r="C50" s="45" t="s">
        <v>1197</v>
      </c>
    </row>
    <row r="51" spans="2:3">
      <c r="B51" s="44" t="s">
        <v>1143</v>
      </c>
      <c r="C51" s="44" t="s">
        <v>1198</v>
      </c>
    </row>
    <row r="52" spans="2:3">
      <c r="B52" s="45" t="s">
        <v>1144</v>
      </c>
      <c r="C52" s="45" t="s">
        <v>1199</v>
      </c>
    </row>
    <row r="53" spans="2:3">
      <c r="B53" s="44" t="s">
        <v>1145</v>
      </c>
      <c r="C53" s="44" t="s">
        <v>1200</v>
      </c>
    </row>
    <row r="54" spans="2:3">
      <c r="B54" s="45" t="s">
        <v>1146</v>
      </c>
      <c r="C54" s="45" t="s">
        <v>1201</v>
      </c>
    </row>
    <row r="55" spans="2:3">
      <c r="B55" s="44" t="s">
        <v>1147</v>
      </c>
      <c r="C55" s="44" t="s">
        <v>1202</v>
      </c>
    </row>
    <row r="56" spans="2:3">
      <c r="B56" s="45" t="s">
        <v>1148</v>
      </c>
      <c r="C56" s="45" t="s">
        <v>1203</v>
      </c>
    </row>
    <row r="57" spans="2:3">
      <c r="B57" s="44" t="s">
        <v>1149</v>
      </c>
      <c r="C57" s="44" t="s">
        <v>1204</v>
      </c>
    </row>
    <row r="58" spans="2:3">
      <c r="B58" s="45" t="s">
        <v>1149</v>
      </c>
      <c r="C58" s="45" t="s">
        <v>1205</v>
      </c>
    </row>
    <row r="59" spans="2:3">
      <c r="B59" s="44" t="s">
        <v>1150</v>
      </c>
      <c r="C59" s="44" t="s">
        <v>1206</v>
      </c>
    </row>
    <row r="60" spans="2:3">
      <c r="B60" s="45" t="s">
        <v>1150</v>
      </c>
      <c r="C60" s="47" t="s">
        <v>1207</v>
      </c>
    </row>
    <row r="61" spans="2:3">
      <c r="B61" s="44" t="s">
        <v>1208</v>
      </c>
      <c r="C61" s="48"/>
    </row>
    <row r="62" spans="2:3">
      <c r="B62" s="45" t="s">
        <v>1209</v>
      </c>
      <c r="C62" s="44" t="s">
        <v>1224</v>
      </c>
    </row>
    <row r="63" spans="2:3">
      <c r="B63" s="44" t="s">
        <v>1210</v>
      </c>
      <c r="C63" s="45" t="s">
        <v>1225</v>
      </c>
    </row>
    <row r="64" spans="2:3">
      <c r="B64" s="45" t="s">
        <v>1210</v>
      </c>
      <c r="C64" s="44" t="s">
        <v>1226</v>
      </c>
    </row>
    <row r="65" spans="2:3">
      <c r="B65" s="44" t="s">
        <v>1211</v>
      </c>
      <c r="C65" s="45" t="s">
        <v>1227</v>
      </c>
    </row>
    <row r="66" spans="2:3">
      <c r="B66" s="45" t="s">
        <v>1212</v>
      </c>
      <c r="C66" s="44" t="s">
        <v>1228</v>
      </c>
    </row>
    <row r="67" spans="2:3">
      <c r="B67" s="44" t="s">
        <v>1213</v>
      </c>
      <c r="C67" s="45" t="s">
        <v>1229</v>
      </c>
    </row>
    <row r="68" spans="2:3">
      <c r="B68" s="45" t="s">
        <v>1214</v>
      </c>
      <c r="C68" s="44" t="s">
        <v>1230</v>
      </c>
    </row>
    <row r="69" spans="2:3">
      <c r="B69" s="44" t="s">
        <v>1215</v>
      </c>
      <c r="C69" s="45" t="s">
        <v>1231</v>
      </c>
    </row>
    <row r="70" spans="2:3">
      <c r="B70" s="45" t="s">
        <v>1216</v>
      </c>
      <c r="C70" s="44" t="s">
        <v>1232</v>
      </c>
    </row>
    <row r="71" spans="2:3">
      <c r="B71" s="44" t="s">
        <v>1217</v>
      </c>
      <c r="C71" s="45" t="s">
        <v>1233</v>
      </c>
    </row>
    <row r="72" spans="2:3">
      <c r="B72" s="45" t="s">
        <v>1217</v>
      </c>
      <c r="C72" s="44" t="s">
        <v>1234</v>
      </c>
    </row>
    <row r="73" spans="2:3">
      <c r="B73" s="44"/>
      <c r="C73" s="45" t="s">
        <v>1235</v>
      </c>
    </row>
    <row r="74" spans="2:3">
      <c r="B74" s="44" t="s">
        <v>1218</v>
      </c>
      <c r="C74" s="44" t="s">
        <v>1236</v>
      </c>
    </row>
    <row r="75" spans="2:3">
      <c r="B75" s="45" t="s">
        <v>1219</v>
      </c>
      <c r="C75" s="45" t="s">
        <v>1237</v>
      </c>
    </row>
    <row r="76" spans="2:3">
      <c r="B76" s="44" t="s">
        <v>1220</v>
      </c>
      <c r="C76" s="44" t="s">
        <v>1238</v>
      </c>
    </row>
    <row r="77" spans="2:3">
      <c r="B77" s="45" t="s">
        <v>1221</v>
      </c>
      <c r="C77" s="47" t="s">
        <v>1239</v>
      </c>
    </row>
    <row r="78" spans="2:3" ht="27">
      <c r="B78" s="44" t="s">
        <v>1222</v>
      </c>
      <c r="C78" s="44" t="s">
        <v>1240</v>
      </c>
    </row>
    <row r="79" spans="2:3" ht="27">
      <c r="B79" s="45"/>
      <c r="C79" s="47" t="s">
        <v>1241</v>
      </c>
    </row>
    <row r="80" spans="2:3">
      <c r="B80" s="45" t="s">
        <v>1223</v>
      </c>
      <c r="C80" s="48"/>
    </row>
    <row r="81" spans="2:3">
      <c r="C81" s="48"/>
    </row>
    <row r="82" spans="2:3">
      <c r="B82" s="45" t="s">
        <v>1985</v>
      </c>
    </row>
    <row r="83" spans="2:3" ht="15" thickBot="1"/>
    <row r="84" spans="2:3" ht="26.5" thickBot="1">
      <c r="B84" s="137" t="s">
        <v>1986</v>
      </c>
      <c r="C84" s="138" t="s">
        <v>1987</v>
      </c>
    </row>
    <row r="85" spans="2:3" ht="15" thickBot="1">
      <c r="B85" s="139" t="s">
        <v>1115</v>
      </c>
      <c r="C85" s="140" t="s">
        <v>1988</v>
      </c>
    </row>
    <row r="86" spans="2:3" ht="26.5" thickBot="1">
      <c r="B86" s="139" t="s">
        <v>1989</v>
      </c>
      <c r="C86" s="140" t="s">
        <v>1990</v>
      </c>
    </row>
    <row r="87" spans="2:3" ht="26.5" thickBot="1">
      <c r="B87" s="139" t="s">
        <v>1991</v>
      </c>
      <c r="C87" s="140" t="s">
        <v>1992</v>
      </c>
    </row>
    <row r="88" spans="2:3">
      <c r="B88" s="141" t="s">
        <v>1993</v>
      </c>
      <c r="C88" s="258" t="s">
        <v>1995</v>
      </c>
    </row>
    <row r="89" spans="2:3" ht="15" thickBot="1">
      <c r="B89" s="142" t="s">
        <v>1994</v>
      </c>
      <c r="C89" s="259"/>
    </row>
    <row r="90" spans="2:3" ht="26.5" thickBot="1">
      <c r="B90" s="139" t="s">
        <v>1996</v>
      </c>
      <c r="C90" s="140" t="s">
        <v>1997</v>
      </c>
    </row>
    <row r="91" spans="2:3" ht="26.5" thickBot="1">
      <c r="B91" s="139" t="s">
        <v>1998</v>
      </c>
      <c r="C91" s="140" t="s">
        <v>1999</v>
      </c>
    </row>
    <row r="92" spans="2:3" ht="26.5" thickBot="1">
      <c r="B92" s="139" t="s">
        <v>2000</v>
      </c>
      <c r="C92" s="140" t="s">
        <v>2001</v>
      </c>
    </row>
    <row r="93" spans="2:3" ht="26.5" thickBot="1">
      <c r="B93" s="139" t="s">
        <v>2002</v>
      </c>
      <c r="C93" s="140" t="s">
        <v>2003</v>
      </c>
    </row>
    <row r="94" spans="2:3" ht="15" thickBot="1">
      <c r="B94" s="139" t="s">
        <v>1124</v>
      </c>
      <c r="C94" s="140" t="s">
        <v>2004</v>
      </c>
    </row>
    <row r="95" spans="2:3" ht="26.5" thickBot="1">
      <c r="B95" s="139" t="s">
        <v>2005</v>
      </c>
      <c r="C95" s="140" t="s">
        <v>2006</v>
      </c>
    </row>
    <row r="96" spans="2:3" ht="26.5" thickBot="1">
      <c r="B96" s="139" t="s">
        <v>2007</v>
      </c>
      <c r="C96" s="140" t="s">
        <v>2008</v>
      </c>
    </row>
    <row r="97" spans="2:3" ht="15" thickBot="1">
      <c r="B97" s="139" t="s">
        <v>2009</v>
      </c>
      <c r="C97" s="140" t="s">
        <v>2010</v>
      </c>
    </row>
    <row r="98" spans="2:3" ht="15" thickBot="1">
      <c r="B98" s="139" t="s">
        <v>2011</v>
      </c>
      <c r="C98" s="140" t="s">
        <v>2012</v>
      </c>
    </row>
    <row r="99" spans="2:3" ht="26.5" thickBot="1">
      <c r="B99" s="139" t="s">
        <v>2013</v>
      </c>
      <c r="C99" s="140" t="s">
        <v>2014</v>
      </c>
    </row>
    <row r="100" spans="2:3" ht="26.5" thickBot="1">
      <c r="B100" s="139" t="s">
        <v>2015</v>
      </c>
      <c r="C100" s="140" t="s">
        <v>2016</v>
      </c>
    </row>
    <row r="101" spans="2:3" ht="26.5" thickBot="1">
      <c r="B101" s="139" t="s">
        <v>2017</v>
      </c>
      <c r="C101" s="140" t="s">
        <v>2018</v>
      </c>
    </row>
    <row r="102" spans="2:3" ht="26.5" thickBot="1">
      <c r="B102" s="139" t="s">
        <v>2019</v>
      </c>
      <c r="C102" s="140" t="s">
        <v>2020</v>
      </c>
    </row>
    <row r="103" spans="2:3" ht="26.5" thickBot="1">
      <c r="B103" s="139" t="s">
        <v>2021</v>
      </c>
      <c r="C103" s="140" t="s">
        <v>2022</v>
      </c>
    </row>
    <row r="104" spans="2:3" ht="26.5" thickBot="1">
      <c r="B104" s="139" t="s">
        <v>2023</v>
      </c>
      <c r="C104" s="140" t="s">
        <v>2024</v>
      </c>
    </row>
    <row r="105" spans="2:3" ht="39.5" thickBot="1">
      <c r="B105" s="139" t="s">
        <v>2025</v>
      </c>
      <c r="C105" s="140" t="s">
        <v>2026</v>
      </c>
    </row>
    <row r="106" spans="2:3" ht="26.5" thickBot="1">
      <c r="B106" s="139" t="s">
        <v>2027</v>
      </c>
      <c r="C106" s="140" t="s">
        <v>2028</v>
      </c>
    </row>
    <row r="107" spans="2:3" ht="26.5" thickBot="1">
      <c r="B107" s="139" t="s">
        <v>2029</v>
      </c>
      <c r="C107" s="140" t="s">
        <v>2030</v>
      </c>
    </row>
    <row r="108" spans="2:3" ht="26.5" thickBot="1">
      <c r="B108" s="139" t="s">
        <v>2031</v>
      </c>
      <c r="C108" s="140" t="s">
        <v>2032</v>
      </c>
    </row>
    <row r="109" spans="2:3" ht="15" thickBot="1">
      <c r="B109" s="139" t="s">
        <v>2033</v>
      </c>
      <c r="C109" s="140" t="s">
        <v>2034</v>
      </c>
    </row>
    <row r="110" spans="2:3" ht="26.5" thickBot="1">
      <c r="B110" s="139" t="s">
        <v>2035</v>
      </c>
      <c r="C110" s="140" t="s">
        <v>2036</v>
      </c>
    </row>
    <row r="111" spans="2:3" ht="15" thickBot="1">
      <c r="B111" s="139" t="s">
        <v>2037</v>
      </c>
      <c r="C111" s="140" t="s">
        <v>2038</v>
      </c>
    </row>
    <row r="112" spans="2:3" ht="15" thickBot="1">
      <c r="B112" s="139" t="s">
        <v>2039</v>
      </c>
      <c r="C112" s="140" t="s">
        <v>2040</v>
      </c>
    </row>
    <row r="113" spans="2:3" ht="26.5" thickBot="1">
      <c r="B113" s="139" t="s">
        <v>2041</v>
      </c>
      <c r="C113" s="140" t="s">
        <v>2042</v>
      </c>
    </row>
    <row r="114" spans="2:3" ht="26.5" thickBot="1">
      <c r="B114" s="139" t="s">
        <v>2043</v>
      </c>
      <c r="C114" s="140" t="s">
        <v>2044</v>
      </c>
    </row>
    <row r="115" spans="2:3" ht="26.5" thickBot="1">
      <c r="B115" s="139" t="s">
        <v>2045</v>
      </c>
      <c r="C115" s="140" t="s">
        <v>2046</v>
      </c>
    </row>
    <row r="119" spans="2:3">
      <c r="B119" t="s">
        <v>2202</v>
      </c>
    </row>
    <row r="120" spans="2:3" ht="15.5">
      <c r="B120" s="58" t="s">
        <v>2197</v>
      </c>
    </row>
    <row r="121" spans="2:3" ht="15.5">
      <c r="B121" s="58" t="s">
        <v>2198</v>
      </c>
    </row>
    <row r="122" spans="2:3" ht="31">
      <c r="B122" s="58" t="s">
        <v>2199</v>
      </c>
    </row>
    <row r="123" spans="2:3" ht="31">
      <c r="B123" s="58" t="s">
        <v>2200</v>
      </c>
    </row>
    <row r="124" spans="2:3" ht="77.5">
      <c r="B124" s="58" t="s">
        <v>2201</v>
      </c>
    </row>
  </sheetData>
  <mergeCells count="1">
    <mergeCell ref="C88:C8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B1:D43"/>
  <sheetViews>
    <sheetView workbookViewId="0">
      <selection activeCell="B32" sqref="B32"/>
    </sheetView>
  </sheetViews>
  <sheetFormatPr baseColWidth="10" defaultRowHeight="14.5"/>
  <cols>
    <col min="2" max="2" width="69.7265625" bestFit="1" customWidth="1"/>
    <col min="3" max="3" width="34.7265625" bestFit="1" customWidth="1"/>
    <col min="4" max="4" width="123.81640625" bestFit="1" customWidth="1"/>
  </cols>
  <sheetData>
    <row r="1" spans="2:4">
      <c r="B1" t="s">
        <v>1242</v>
      </c>
    </row>
    <row r="4" spans="2:4" ht="27" customHeight="1">
      <c r="B4" s="45" t="s">
        <v>1243</v>
      </c>
      <c r="C4" s="260" t="s">
        <v>1246</v>
      </c>
      <c r="D4" s="260"/>
    </row>
    <row r="5" spans="2:4" ht="27">
      <c r="B5" s="45" t="s">
        <v>1244</v>
      </c>
      <c r="C5" s="260"/>
      <c r="D5" s="260"/>
    </row>
    <row r="6" spans="2:4" ht="27">
      <c r="B6" s="45" t="s">
        <v>1245</v>
      </c>
      <c r="C6" s="45"/>
    </row>
    <row r="7" spans="2:4" ht="27">
      <c r="B7" s="45" t="s">
        <v>1247</v>
      </c>
      <c r="C7" s="45" t="s">
        <v>1248</v>
      </c>
    </row>
    <row r="8" spans="2:4" ht="16" thickBot="1">
      <c r="B8" s="49"/>
    </row>
    <row r="9" spans="2:4" ht="15" thickBot="1">
      <c r="B9" s="50" t="s">
        <v>1249</v>
      </c>
      <c r="C9" s="51" t="s">
        <v>1250</v>
      </c>
      <c r="D9" s="51" t="s">
        <v>1251</v>
      </c>
    </row>
    <row r="10" spans="2:4" ht="15" thickBot="1">
      <c r="B10" s="52" t="s">
        <v>1252</v>
      </c>
      <c r="C10" s="53" t="s">
        <v>1253</v>
      </c>
      <c r="D10" s="53" t="s">
        <v>1254</v>
      </c>
    </row>
    <row r="11" spans="2:4" ht="15" thickBot="1">
      <c r="B11" s="52" t="s">
        <v>1255</v>
      </c>
      <c r="C11" s="53" t="s">
        <v>1256</v>
      </c>
      <c r="D11" s="53" t="s">
        <v>1257</v>
      </c>
    </row>
    <row r="12" spans="2:4" ht="15" thickBot="1">
      <c r="B12" s="52" t="s">
        <v>1258</v>
      </c>
      <c r="C12" s="53" t="s">
        <v>1259</v>
      </c>
      <c r="D12" s="53" t="s">
        <v>1260</v>
      </c>
    </row>
    <row r="13" spans="2:4" ht="16" thickBot="1">
      <c r="B13" s="52" t="s">
        <v>1261</v>
      </c>
      <c r="C13" s="53" t="s">
        <v>1262</v>
      </c>
      <c r="D13" s="53" t="s">
        <v>1263</v>
      </c>
    </row>
    <row r="14" spans="2:4" ht="15" thickBot="1">
      <c r="B14" s="52" t="s">
        <v>1264</v>
      </c>
      <c r="C14" s="53" t="s">
        <v>1265</v>
      </c>
      <c r="D14" s="53" t="s">
        <v>1266</v>
      </c>
    </row>
    <row r="15" spans="2:4" ht="15" thickBot="1">
      <c r="B15" s="52" t="s">
        <v>1267</v>
      </c>
      <c r="C15" s="53" t="s">
        <v>1268</v>
      </c>
      <c r="D15" s="53" t="s">
        <v>1269</v>
      </c>
    </row>
    <row r="16" spans="2:4" ht="15" thickBot="1">
      <c r="B16" s="52" t="s">
        <v>1270</v>
      </c>
      <c r="C16" s="53" t="s">
        <v>1271</v>
      </c>
      <c r="D16" s="53" t="s">
        <v>1271</v>
      </c>
    </row>
    <row r="17" spans="2:4" ht="15" thickBot="1">
      <c r="B17" s="52" t="s">
        <v>1272</v>
      </c>
      <c r="C17" s="53" t="s">
        <v>1273</v>
      </c>
      <c r="D17" s="53" t="s">
        <v>1274</v>
      </c>
    </row>
    <row r="18" spans="2:4" ht="15" thickBot="1">
      <c r="B18" s="52" t="s">
        <v>1275</v>
      </c>
      <c r="C18" s="53" t="s">
        <v>1276</v>
      </c>
      <c r="D18" s="53" t="s">
        <v>1277</v>
      </c>
    </row>
    <row r="19" spans="2:4" ht="15" thickBot="1">
      <c r="B19" s="52" t="s">
        <v>1278</v>
      </c>
      <c r="C19" s="53" t="s">
        <v>1276</v>
      </c>
      <c r="D19" s="53" t="s">
        <v>1277</v>
      </c>
    </row>
    <row r="20" spans="2:4" ht="16" thickBot="1">
      <c r="B20" s="52" t="s">
        <v>1279</v>
      </c>
      <c r="C20" s="53" t="s">
        <v>1280</v>
      </c>
      <c r="D20" s="53" t="s">
        <v>1281</v>
      </c>
    </row>
    <row r="21" spans="2:4" ht="16" thickBot="1">
      <c r="B21" s="52" t="s">
        <v>1282</v>
      </c>
      <c r="C21" s="53" t="s">
        <v>1283</v>
      </c>
      <c r="D21" s="53" t="s">
        <v>1284</v>
      </c>
    </row>
    <row r="22" spans="2:4" ht="15" thickBot="1">
      <c r="B22" s="52" t="s">
        <v>1285</v>
      </c>
      <c r="C22" s="53" t="s">
        <v>1286</v>
      </c>
      <c r="D22" s="53" t="s">
        <v>1287</v>
      </c>
    </row>
    <row r="23" spans="2:4" ht="15" thickBot="1">
      <c r="B23" s="52" t="s">
        <v>1288</v>
      </c>
      <c r="C23" s="53" t="s">
        <v>1289</v>
      </c>
      <c r="D23" s="53" t="s">
        <v>1290</v>
      </c>
    </row>
    <row r="24" spans="2:4" ht="15" thickBot="1">
      <c r="B24" s="52" t="s">
        <v>1291</v>
      </c>
      <c r="C24" s="53" t="s">
        <v>1292</v>
      </c>
      <c r="D24" s="53" t="s">
        <v>1293</v>
      </c>
    </row>
    <row r="25" spans="2:4" ht="15" thickBot="1">
      <c r="B25" s="52" t="s">
        <v>1294</v>
      </c>
      <c r="C25" s="53" t="s">
        <v>1295</v>
      </c>
      <c r="D25" s="53" t="s">
        <v>1296</v>
      </c>
    </row>
    <row r="26" spans="2:4" ht="15" thickBot="1">
      <c r="B26" s="52" t="s">
        <v>1294</v>
      </c>
      <c r="C26" s="53" t="s">
        <v>1297</v>
      </c>
      <c r="D26" s="53" t="s">
        <v>1298</v>
      </c>
    </row>
    <row r="27" spans="2:4" ht="15" thickBot="1">
      <c r="B27" s="52" t="s">
        <v>1299</v>
      </c>
      <c r="C27" s="53" t="s">
        <v>1300</v>
      </c>
      <c r="D27" s="53" t="s">
        <v>1301</v>
      </c>
    </row>
    <row r="28" spans="2:4" ht="15" thickBot="1">
      <c r="B28" s="52" t="s">
        <v>1302</v>
      </c>
      <c r="C28" s="53" t="s">
        <v>1303</v>
      </c>
      <c r="D28" s="53" t="s">
        <v>1304</v>
      </c>
    </row>
    <row r="29" spans="2:4" ht="15" thickBot="1">
      <c r="B29" s="52" t="s">
        <v>1305</v>
      </c>
      <c r="C29" s="53" t="s">
        <v>1306</v>
      </c>
      <c r="D29" s="53" t="s">
        <v>1307</v>
      </c>
    </row>
    <row r="30" spans="2:4" ht="15" thickBot="1">
      <c r="B30" s="52" t="s">
        <v>1308</v>
      </c>
      <c r="C30" s="53" t="s">
        <v>1309</v>
      </c>
      <c r="D30" s="53" t="s">
        <v>1310</v>
      </c>
    </row>
    <row r="31" spans="2:4" ht="16" thickBot="1">
      <c r="B31" s="52" t="s">
        <v>1311</v>
      </c>
      <c r="C31" s="53" t="s">
        <v>1312</v>
      </c>
      <c r="D31" s="53" t="s">
        <v>1313</v>
      </c>
    </row>
    <row r="32" spans="2:4" ht="15" thickBot="1">
      <c r="B32" s="52" t="s">
        <v>1314</v>
      </c>
      <c r="C32" s="53" t="s">
        <v>1315</v>
      </c>
      <c r="D32" s="53" t="s">
        <v>1316</v>
      </c>
    </row>
    <row r="33" spans="2:4" ht="15" thickBot="1">
      <c r="B33" s="52" t="s">
        <v>1317</v>
      </c>
      <c r="C33" s="53" t="s">
        <v>1318</v>
      </c>
      <c r="D33" s="53" t="s">
        <v>1319</v>
      </c>
    </row>
    <row r="34" spans="2:4" ht="15" thickBot="1">
      <c r="B34" s="52" t="s">
        <v>1320</v>
      </c>
      <c r="C34" s="53" t="s">
        <v>1321</v>
      </c>
      <c r="D34" s="53" t="s">
        <v>1322</v>
      </c>
    </row>
    <row r="35" spans="2:4" ht="15" thickBot="1">
      <c r="B35" s="52" t="s">
        <v>1323</v>
      </c>
      <c r="C35" s="53" t="s">
        <v>1324</v>
      </c>
      <c r="D35" s="53" t="s">
        <v>1325</v>
      </c>
    </row>
    <row r="36" spans="2:4" ht="15" thickBot="1">
      <c r="B36" s="52" t="s">
        <v>1326</v>
      </c>
      <c r="C36" s="53" t="s">
        <v>1327</v>
      </c>
      <c r="D36" s="53" t="s">
        <v>1328</v>
      </c>
    </row>
    <row r="37" spans="2:4" ht="15" thickBot="1">
      <c r="B37" s="52" t="s">
        <v>1329</v>
      </c>
      <c r="C37" s="53" t="s">
        <v>1330</v>
      </c>
      <c r="D37" s="53" t="s">
        <v>1331</v>
      </c>
    </row>
    <row r="38" spans="2:4" ht="15" thickBot="1">
      <c r="B38" s="52" t="s">
        <v>1332</v>
      </c>
      <c r="C38" s="53" t="s">
        <v>1333</v>
      </c>
      <c r="D38" s="53" t="s">
        <v>1334</v>
      </c>
    </row>
    <row r="39" spans="2:4" ht="16" thickBot="1">
      <c r="B39" s="52" t="s">
        <v>1335</v>
      </c>
      <c r="C39" s="53" t="s">
        <v>1336</v>
      </c>
      <c r="D39" s="53" t="s">
        <v>1337</v>
      </c>
    </row>
    <row r="40" spans="2:4" ht="16" thickBot="1">
      <c r="B40" s="52" t="s">
        <v>1338</v>
      </c>
      <c r="C40" s="53" t="s">
        <v>1339</v>
      </c>
      <c r="D40" s="53" t="s">
        <v>1340</v>
      </c>
    </row>
    <row r="41" spans="2:4" ht="15" thickBot="1">
      <c r="B41" s="52" t="s">
        <v>1341</v>
      </c>
      <c r="C41" s="53" t="s">
        <v>1342</v>
      </c>
      <c r="D41" s="53" t="s">
        <v>1343</v>
      </c>
    </row>
    <row r="43" spans="2:4">
      <c r="B43" s="54"/>
    </row>
  </sheetData>
  <mergeCells count="1">
    <mergeCell ref="C4: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5</vt:i4>
      </vt:variant>
    </vt:vector>
  </HeadingPairs>
  <TitlesOfParts>
    <vt:vector size="15" baseType="lpstr">
      <vt:lpstr>Fiche lecture</vt:lpstr>
      <vt:lpstr>RFQ PRECOM</vt:lpstr>
      <vt:lpstr>Liste des specs +</vt:lpstr>
      <vt:lpstr>Feuil1</vt:lpstr>
      <vt:lpstr>Deviations AX</vt:lpstr>
      <vt:lpstr>Painting</vt:lpstr>
      <vt:lpstr>Codes et Std</vt:lpstr>
      <vt:lpstr>Russian codes</vt:lpstr>
      <vt:lpstr>ABBREVIATIONS AND ACRONYMS</vt:lpstr>
      <vt:lpstr>measurement units</vt:lpstr>
      <vt:lpstr>'Fiche lecture'!_Toc25674434</vt:lpstr>
      <vt:lpstr>'Fiche lecture'!_Toc25752130</vt:lpstr>
      <vt:lpstr>'Codes et Std'!_Toc27147889</vt:lpstr>
      <vt:lpstr>'Codes et Std'!_Toc37057675</vt:lpstr>
      <vt:lpstr>'Codes et Std'!_Toc37385647</vt:lpstr>
    </vt:vector>
  </TitlesOfParts>
  <Company>AXENS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GORISSE Pascal</dc:creator>
  <cp:lastModifiedBy>GORISSE Pascal</cp:lastModifiedBy>
  <dcterms:created xsi:type="dcterms:W3CDTF">2020-01-16T07:36:06Z</dcterms:created>
  <dcterms:modified xsi:type="dcterms:W3CDTF">2021-06-03T14:31:53Z</dcterms:modified>
</cp:coreProperties>
</file>